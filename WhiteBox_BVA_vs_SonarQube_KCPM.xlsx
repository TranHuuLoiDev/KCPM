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cb086cb27b43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ổng quan" sheetId="1" r:id="Rf329bcf2fd994bc1"/>
    <x:sheet xmlns:r="http://schemas.openxmlformats.org/officeDocument/2006/relationships" name="Manual BVA Coverage" sheetId="2" r:id="Rc885430c22094959"/>
    <x:sheet xmlns:r="http://schemas.openxmlformats.org/officeDocument/2006/relationships" name="SonarQube Snapshot" sheetId="3" r:id="Rf004f06d42f8467e"/>
    <x:sheet xmlns:r="http://schemas.openxmlformats.org/officeDocument/2006/relationships" name="BVA Cases" sheetId="4" r:id="R4db7b8a1aa7c4e39"/>
    <x:sheet xmlns:r="http://schemas.openxmlformats.org/officeDocument/2006/relationships" name="Phương pháp" sheetId="5" r:id="Ra77857be1e3e46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%"/>
  </x:numFmts>
  <x:fonts count="10">
    <x:font>
      <x:sz val="11"/>
      <x:name val="Carlito"/>
    </x:font>
    <x:font>
      <x:b/>
      <x:sz val="15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0563C1"/>
      <x:name val="Carlito"/>
    </x:font>
    <x:font>
      <x:b/>
      <x:sz val="16"/>
      <x:color rgb="FFFFFFFF"/>
      <x:name val="Carlito"/>
    </x:font>
    <x:font>
      <x:b/>
      <x:sz val="16"/>
      <x:color rgb="FF2E7D32"/>
      <x:name val="Carlito"/>
    </x:font>
    <x:font>
      <x:b/>
      <x:sz val="14"/>
      <x:color rgb="FFC00000"/>
      <x:name val="Carlito"/>
    </x:font>
    <x:font>
      <x:b/>
      <x:sz val="12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E2F0D9"/>
      </x:patternFill>
    </x:fill>
    <x:fill>
      <x:patternFill patternType="solid">
        <x:fgColor rgb="FF5B9BD5"/>
      </x:patternFill>
    </x:fill>
    <x:fill>
      <x:patternFill patternType="solid">
        <x:fgColor rgb="FF6B5DD3"/>
      </x:patternFill>
    </x:fill>
    <x:fill>
      <x:patternFill patternType="solid">
        <x:fgColor rgb="FFEDE9FE"/>
      </x:patternFill>
    </x:fill>
    <x:fill>
      <x:patternFill patternType="solid">
        <x:fgColor rgb="FF7C3AED"/>
      </x:patternFill>
    </x:fill>
    <x:fill>
      <x:patternFill patternType="solid">
        <x:fgColor rgb="FFF3E8FF"/>
      </x:patternFill>
    </x:fill>
    <x:fill>
      <x:patternFill patternType="solid">
        <x:fgColor rgb="FF0F4C5C"/>
      </x:patternFill>
    </x:fill>
    <x:fill>
      <x:patternFill patternType="solid">
        <x:fgColor rgb="FFDDEBF7"/>
      </x:patternFill>
    </x:fill>
    <x:fill>
      <x:patternFill patternType="solid">
        <x:fgColor rgb="FF2E75B6"/>
      </x:patternFill>
    </x:fill>
    <x:fill>
      <x:patternFill patternType="solid">
        <x:fgColor rgb="FFFCE4D6"/>
      </x:patternFill>
    </x:fill>
    <x:fill>
      <x:patternFill patternType="solid">
        <x:fgColor rgb="FF70AD47"/>
      </x:patternFill>
    </x:fill>
    <x:fill>
      <x:patternFill patternType="solid">
        <x:fgColor rgb="FFD9E1F2"/>
      </x:patternFill>
    </x:fill>
  </x:fills>
  <x:borders count="2">
    <x:border/>
    <x:border/>
  </x:borders>
  <x:cellStyleXfs count="1">
    <x:xf numFmtId="0" fontId="0" fillId="0" borderId="0"/>
  </x:cellStyleXfs>
  <x:cellXfs count="1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0" fillId="0" borderId="0" xfId="0" applyNumberFormat="1" applyFont="1" applyFill="1" applyBorder="1"/>
    <x:xf numFmtId="200" fontId="4" fillId="5" borderId="0" xfId="0" applyNumberFormat="1" applyFont="1" applyFill="1" applyBorder="1"/>
    <x:xf numFmtId="200" fontId="0" fillId="0" borderId="1" xfId="0" applyNumberFormat="1" applyFont="1" applyFill="1" applyBorder="1"/>
    <x:xf numFmtId="200" fontId="4" fillId="5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0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/>
    <x:xf numFmtId="0" fontId="2" fillId="8" borderId="1" xfId="0" applyNumberFormat="1" applyFont="1" applyFill="1" applyBorder="1"/>
    <x:xf numFmtId="0" fontId="2" fillId="8" borderId="1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horizontal="center" wrapText="1"/>
    </x:xf>
    <x:xf numFmtId="0" fontId="0" fillId="9" borderId="1" xfId="0" applyNumberFormat="1" applyFont="1" applyFill="1" applyBorder="1" applyAlignment="1">
      <x:alignment wrapText="1"/>
    </x:xf>
    <x:xf numFmtId="0" fontId="3" fillId="9" borderId="1" xfId="0" applyNumberFormat="1" applyFont="1" applyFill="1" applyBorder="1" applyAlignment="1">
      <x:alignment wrapText="1"/>
    </x:xf>
    <x:xf numFmtId="0" fontId="3" fillId="9" borderId="1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center"/>
    </x:xf>
    <x:xf numFmtId="0" fontId="0" fillId="9" borderId="1" xfId="0" applyNumberFormat="1" applyFont="1" applyFill="1" applyBorder="1"/>
    <x:xf numFmtId="0" fontId="3" fillId="9" borderId="1" xfId="0" applyNumberFormat="1" applyFont="1" applyFill="1" applyBorder="1"/>
    <x:xf numFmtId="0" fontId="3" fillId="9" borderId="1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0" fillId="10" borderId="1" xfId="0" applyNumberFormat="1" applyFont="1" applyFill="1" applyBorder="1"/>
    <x:xf numFmtId="0" fontId="4" fillId="10" borderId="1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6" fillId="11" borderId="0" xfId="0" applyNumberFormat="1" applyFont="1" applyFill="1" applyBorder="1"/>
    <x:xf numFmtId="0" fontId="6" fillId="11" borderId="0" xfId="0" applyNumberFormat="1" applyFont="1" applyFill="1" applyBorder="1" applyAlignment="1">
      <x:alignment horizontal="center"/>
    </x:xf>
    <x:xf numFmtId="0" fontId="0" fillId="11" borderId="1" xfId="0" applyNumberFormat="1" applyFont="1" applyFill="1" applyBorder="1"/>
    <x:xf numFmtId="0" fontId="6" fillId="11" borderId="1" xfId="0" applyNumberFormat="1" applyFont="1" applyFill="1" applyBorder="1"/>
    <x:xf numFmtId="0" fontId="6" fillId="11" borderId="1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2" fillId="12" borderId="0" xfId="0" applyNumberFormat="1" applyFont="1" applyFill="1" applyBorder="1" applyAlignment="1">
      <x:alignment horizontal="center" wrapText="1"/>
    </x:xf>
    <x:xf numFmtId="0" fontId="0" fillId="12" borderId="1" xfId="0" applyNumberFormat="1" applyFont="1" applyFill="1" applyBorder="1"/>
    <x:xf numFmtId="0" fontId="2" fillId="12" borderId="1" xfId="0" applyNumberFormat="1" applyFont="1" applyFill="1" applyBorder="1"/>
    <x:xf numFmtId="0" fontId="2" fillId="12" borderId="1" xfId="0" applyNumberFormat="1" applyFont="1" applyFill="1" applyBorder="1" applyAlignment="1">
      <x:alignment wrapText="1"/>
    </x:xf>
    <x:xf numFmtId="0" fontId="2" fillId="12" borderId="1" xfId="0" applyNumberFormat="1" applyFont="1" applyFill="1" applyBorder="1" applyAlignment="1">
      <x:alignment horizontal="center" wrapText="1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horizontal="center"/>
    </x:xf>
    <x:xf numFmtId="0" fontId="0" fillId="13" borderId="1" xfId="0" applyNumberFormat="1" applyFont="1" applyFill="1" applyBorder="1"/>
    <x:xf numFmtId="0" fontId="3" fillId="13" borderId="1" xfId="0" applyNumberFormat="1" applyFont="1" applyFill="1" applyBorder="1"/>
    <x:xf numFmtId="0" fontId="3" fillId="13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200" fontId="7" fillId="5" borderId="0" xfId="0" applyNumberFormat="1" applyFont="1" applyFill="1" applyBorder="1" applyAlignment="1">
      <x:alignment wrapText="1"/>
    </x:xf>
    <x:xf numFmtId="200" fontId="7" fillId="5" borderId="0" xfId="0" applyNumberFormat="1" applyFont="1" applyFill="1" applyBorder="1" applyAlignment="1">
      <x:alignment horizontal="center" wrapText="1"/>
    </x:xf>
    <x:xf numFmtId="200" fontId="0" fillId="5" borderId="1" xfId="0" applyNumberFormat="1" applyFont="1" applyFill="1" applyBorder="1" applyAlignment="1">
      <x:alignment wrapText="1"/>
    </x:xf>
    <x:xf numFmtId="200" fontId="7" fillId="5" borderId="1" xfId="0" applyNumberFormat="1" applyFont="1" applyFill="1" applyBorder="1" applyAlignment="1">
      <x:alignment wrapText="1"/>
    </x:xf>
    <x:xf numFmtId="200" fontId="7" fillId="5" borderId="1" xfId="0" applyNumberFormat="1" applyFont="1" applyFill="1" applyBorder="1" applyAlignment="1">
      <x:alignment horizontal="center" wrapText="1"/>
    </x:xf>
    <x:xf numFmtId="200" fontId="0" fillId="14" borderId="0" xfId="0" applyNumberFormat="1" applyFont="1" applyFill="1" applyBorder="1" applyAlignment="1">
      <x:alignment wrapText="1"/>
    </x:xf>
    <x:xf numFmtId="200" fontId="8" fillId="14" borderId="0" xfId="0" applyNumberFormat="1" applyFont="1" applyFill="1" applyBorder="1" applyAlignment="1">
      <x:alignment wrapText="1"/>
    </x:xf>
    <x:xf numFmtId="200" fontId="8" fillId="14" borderId="0" xfId="0" applyNumberFormat="1" applyFont="1" applyFill="1" applyBorder="1" applyAlignment="1">
      <x:alignment horizontal="center" wrapText="1"/>
    </x:xf>
    <x:xf numFmtId="200" fontId="0" fillId="14" borderId="1" xfId="0" applyNumberFormat="1" applyFont="1" applyFill="1" applyBorder="1" applyAlignment="1">
      <x:alignment wrapText="1"/>
    </x:xf>
    <x:xf numFmtId="200" fontId="8" fillId="14" borderId="1" xfId="0" applyNumberFormat="1" applyFont="1" applyFill="1" applyBorder="1" applyAlignment="1">
      <x:alignment wrapText="1"/>
    </x:xf>
    <x:xf numFmtId="200" fontId="8" fillId="14" borderId="1" xfId="0" applyNumberFormat="1" applyFont="1" applyFill="1" applyBorder="1" applyAlignment="1">
      <x:alignment horizontal="center" wrapText="1"/>
    </x:xf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3" fillId="15" borderId="0" xfId="0" applyNumberFormat="1" applyFont="1" applyFill="1" applyBorder="1" applyAlignment="1">
      <x:alignment horizontal="center"/>
    </x:xf>
    <x:xf numFmtId="0" fontId="0" fillId="15" borderId="1" xfId="0" applyNumberFormat="1" applyFont="1" applyFill="1" applyBorder="1"/>
    <x:xf numFmtId="0" fontId="3" fillId="15" borderId="1" xfId="0" applyNumberFormat="1" applyFont="1" applyFill="1" applyBorder="1"/>
    <x:xf numFmtId="0" fontId="3" fillId="15" borderId="1" xfId="0" applyNumberFormat="1" applyFont="1" applyFill="1" applyBorder="1" applyAlignment="1">
      <x:alignment horizontal="center"/>
    </x:xf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horizontal="center" wrapText="1"/>
    </x:xf>
    <x:xf numFmtId="0" fontId="9" fillId="5" borderId="0" xfId="0" applyNumberFormat="1" applyFont="1" applyFill="1" applyBorder="1" applyAlignment="1">
      <x:alignment horizontal="center" vertical="center" wrapText="1"/>
    </x:xf>
    <x:xf numFmtId="0" fontId="9" fillId="5" borderId="1" xfId="0" applyNumberFormat="1" applyFont="1" applyFill="1" applyBorder="1"/>
    <x:xf numFmtId="0" fontId="9" fillId="5" borderId="1" xfId="0" applyNumberFormat="1" applyFont="1" applyFill="1" applyBorder="1" applyAlignment="1">
      <x:alignment wrapText="1"/>
    </x:xf>
    <x:xf numFmtId="0" fontId="9" fillId="5" borderId="1" xfId="0" applyNumberFormat="1" applyFont="1" applyFill="1" applyBorder="1" applyAlignment="1">
      <x:alignment horizontal="center" wrapText="1"/>
    </x:xf>
    <x:xf numFmtId="0" fontId="9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0" fontId="0" fillId="16" borderId="0" xfId="0" applyNumberFormat="1" applyFont="1" applyFill="1" applyBorder="1"/>
    <x:xf numFmtId="0" fontId="4" fillId="16" borderId="0" xfId="0" applyNumberFormat="1" applyFont="1" applyFill="1" applyBorder="1"/>
    <x:xf numFmtId="0" fontId="0" fillId="16" borderId="1" xfId="0" applyNumberFormat="1" applyFont="1" applyFill="1" applyBorder="1"/>
    <x:xf numFmtId="0" fontId="4" fillId="16" borderId="1" xfId="0" applyNumberFormat="1" applyFont="1" applyFill="1" applyBorder="1"/>
  </x:cellXfs>
  <x:cellStyles count="1">
    <x:cellStyle name="Normal" xfId="0"/>
  </x:cellStyles>
  <x:dxfs count="2">
    <x:dxf>
      <x:font>
        <x:b/>
        <x:color rgb="FF2E7D32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8b6e40767042b2" /><Relationship Type="http://schemas.openxmlformats.org/officeDocument/2006/relationships/theme" Target="/xl/theme/theme1.xml" Id="R4be80d50fea34c5d" /><Relationship Type="http://schemas.openxmlformats.org/officeDocument/2006/relationships/sharedStrings" Target="/xl/sharedStrings.xml" Id="R5d355c122eae4a56" /><Relationship Type="http://schemas.openxmlformats.org/officeDocument/2006/relationships/worksheet" Target="/xl/worksheets/sheet1.xml" Id="Rf329bcf2fd994bc1" /><Relationship Type="http://schemas.openxmlformats.org/officeDocument/2006/relationships/worksheet" Target="/xl/worksheets/sheet2.xml" Id="Rc885430c22094959" /><Relationship Type="http://schemas.openxmlformats.org/officeDocument/2006/relationships/worksheet" Target="/xl/worksheets/sheet3.xml" Id="Rf004f06d42f8467e" /><Relationship Type="http://schemas.openxmlformats.org/officeDocument/2006/relationships/worksheet" Target="/xl/worksheets/sheet4.xml" Id="R4db7b8a1aa7c4e39" /><Relationship Type="http://schemas.openxmlformats.org/officeDocument/2006/relationships/worksheet" Target="/xl/worksheets/sheet5.xml" Id="Ra77857be1e3e46e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85ea41e27e6456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Manual Decision Coverage theo module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Covered Outcomes</c:v>
          </c:tx>
          <c:cat>
            <c:strRef>
              <c:f>'Tổng quan'!$A$12:$A$14</c:f>
              <c:strCache>
                <c:ptCount val="0"/>
              </c:strCache>
            </c:strRef>
          </c:cat>
          <c:val>
            <c:numRef>
              <c:f>'Tổng quan'!$B$12:$B$14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Total Outcomes</c:v>
          </c:tx>
          <c:cat>
            <c:strRef>
              <c:f>'Tổng quan'!$A$12:$A$14</c:f>
              <c:strCache>
                <c:ptCount val="0"/>
              </c:strCache>
            </c:strRef>
          </c:cat>
          <c:val>
            <c:numRef>
              <c:f>'Tổng quan'!$C$12:$C$14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Decision Coverage</c:v>
          </c:tx>
          <c:cat>
            <c:strRef>
              <c:f>'Tổng quan'!$A$12:$A$14</c:f>
              <c:strCache>
                <c:ptCount val="0"/>
              </c:strCache>
            </c:strRef>
          </c:cat>
          <c:val>
            <c:numRef>
              <c:f>'Tổng quan'!$D$12:$D$14</c:f>
              <c:numCache>
                <c:formatCode>0.00%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10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85ea41e27e6456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7" name="DashboardModules" displayName="DashboardModules" ref="A11:F14" headerRowCount="1" totalsRowCount="0" totalsRowShown="0">
  <x:tableColumns count="6">
    <x:tableColumn id="1" name="Module"/>
    <x:tableColumn id="2" name="Covered Outcomes"/>
    <x:tableColumn id="3" name="Total Outcomes"/>
    <x:tableColumn id="4" name="Decision Coverage"/>
    <x:tableColumn id="5" name="Path Coverage"/>
    <x:tableColumn id="6" name="BVA Cas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ManualCoverageSummary" displayName="ManualCoverageSummary" ref="A4:H8" headerRowCount="1" totalsRowCount="0" totalsRowShown="0">
  <x:tableColumns count="8">
    <x:tableColumn id="1" name="Module"/>
    <x:tableColumn id="2" name="Decision/Logic Outcomes"/>
    <x:tableColumn id="3" name="Covered Outcomes"/>
    <x:tableColumn id="4" name="Decision Coverage"/>
    <x:tableColumn id="5" name="Independent Paths"/>
    <x:tableColumn id="6" name="Covered Paths"/>
    <x:tableColumn id="7" name="Path Coverage"/>
    <x:tableColumn id="8" name="BVA Cas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DecisionMatrix" displayName="DecisionMatrix" ref="A11:H23" headerRowCount="1" totalsRowCount="0" totalsRowShown="0">
  <x:tableColumns count="8">
    <x:tableColumn id="1" name="Module"/>
    <x:tableColumn id="2" name="Decision ID"/>
    <x:tableColumn id="3" name="Decision/Điều kiện"/>
    <x:tableColumn id="4" name="True được phủ?"/>
    <x:tableColumn id="5" name="False được phủ?"/>
    <x:tableColumn id="6" name="Covered Outcomes"/>
    <x:tableColumn id="7" name="Total Outcomes"/>
    <x:tableColumn id="8" name="Ghi chú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SonarMetrics" displayName="SonarMetrics" ref="A4:C15" headerRowCount="1" totalsRowCount="0" totalsRowShown="0">
  <x:tableColumns count="3">
    <x:tableColumn id="1" name="Metric"/>
    <x:tableColumn id="2" name="Giá trị"/>
    <x:tableColumn id="3" name="Ghi chú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BVACasesTable" displayName="BVACasesTable" ref="A3:F17" headerRowCount="1" totalsRowCount="0" totalsRowShown="0">
  <x:tableColumns count="6">
    <x:tableColumn id="1" name="Module"/>
    <x:tableColumn id="2" name="Test Case"/>
    <x:tableColumn id="3" name="Field"/>
    <x:tableColumn id="4" name="Input"/>
    <x:tableColumn id="5" name="Boundary"/>
    <x:tableColumn id="6" name="Expect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MethodSummary" displayName="MethodSummary" ref="A3:B8" headerRowCount="1" totalsRowCount="0" totalsRowShown="0">
  <x:tableColumns count="2">
    <x:tableColumn id="1" name="Nội dung"/>
    <x:tableColumn id="2" name="Mô tả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SourcesTable" displayName="SourcesTable" ref="A11:F17" headerRowCount="1" totalsRowCount="0" totalsRowShown="0">
  <x:tableColumns count="6">
    <x:tableColumn id="1" name="Nguồn"/>
    <x:tableColumn id="2" name="URL"/>
    <x:tableColumn id="3" name="Vai trò"/>
    <x:tableColumn id="4" name="Phạm vi"/>
    <x:tableColumn id="5" name="Ghi chú"/>
    <x:tableColumn id="6" name="Dùng trong fi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d9a0d61195a4fab" /><Relationship Type="http://schemas.openxmlformats.org/officeDocument/2006/relationships/table" Target="/xl/tables/table1.xml" Id="R19219e8b32904f3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ccdee4b7de54b65" /><Relationship Type="http://schemas.openxmlformats.org/officeDocument/2006/relationships/table" Target="/xl/tables/table3.xml" Id="Reb5ffa9be2c640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3bec6c8559cd4ed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84b38f64ba68429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54e2f165e2ff4ff1" /><Relationship Type="http://schemas.openxmlformats.org/officeDocument/2006/relationships/table" Target="/xl/tables/table7.xml" Id="R82c13492da6f4f53" /></Relationships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8" hidden="0" customWidth="1"/>
    <x:col min="3" max="3" width="42" hidden="0" customWidth="1"/>
    <x:col min="4" max="4" width="18" hidden="0" customWidth="1"/>
    <x:col min="5" max="5" width="18" hidden="0" customWidth="1"/>
    <x:col min="6" max="6" width="18" hidden="0" customWidth="1"/>
    <x:col min="7" max="7" width="3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>
      <x:c r="A1" s="80" t="str">
        <x:v>ĐỐI CHIẾU SONARQUBE &amp; WHITE-BOX BVA COVERAGE</x:v>
      </x:c>
      <x:c r="B1" s="80"/>
      <x:c r="C1" s="80"/>
      <x:c r="D1" s="80"/>
      <x:c r="E1" s="80"/>
      <x:c r="F1" s="80"/>
      <x:c r="G1" s="80"/>
      <x:c r="H1" s="80"/>
    </x:row>
    <x:row r="2" ht="34" customHeight="1">
      <x:c r="A2" s="87" t="str">
        <x:v>Mục tiêu: trả lời rõ độ phủ của riêng bộ BVA Seat + Room + Theatre, đồng thời đối chiếu với Overall Coverage hiện tại trên SonarQube Cloud.</x:v>
      </x:c>
      <x:c r="B2" s="87"/>
      <x:c r="C2" s="87"/>
      <x:c r="D2" s="87"/>
      <x:c r="E2" s="87"/>
      <x:c r="F2" s="87"/>
      <x:c r="G2" s="87"/>
      <x:c r="H2" s="87"/>
    </x:row>
    <x:row r="4">
      <x:c r="A4" s="94" t="str">
        <x:v>Chỉ số</x:v>
      </x:c>
      <x:c r="B4" s="94" t="str">
        <x:v>Giá trị</x:v>
      </x:c>
      <x:c r="C4" s="94" t="str">
        <x:v>Ý nghĩa</x:v>
      </x:c>
      <x:c r="E4" s="114" t="str">
        <x:v>KẾT LUẬN CHÍNH</x:v>
      </x:c>
      <x:c r="F4" s="114"/>
      <x:c r="G4" s="114"/>
      <x:c r="H4" s="114"/>
    </x:row>
    <x:row r="5">
      <x:c r="A5" s="32" t="str">
        <x:v>Manual BVA Decision Coverage</x:v>
      </x:c>
      <x:c r="B5" s="102" t="n">
        <x:f>'Manual BVA Coverage'!D8</x:f>
        <x:v>0.75</x:v>
      </x:c>
      <x:c r="C5" s="32" t="str">
        <x:v>Độ phủ riêng của Seat + Room + Theatre</x:v>
      </x:c>
      <x:c r="E5" s="121" t="str">
        <x:f>"Bộ BVA Seat + Room + Theatre đạt "&amp;TEXT(B5,"0.00%")&amp;" logic/decision coverage (18/24 outcomes). "&amp;"SonarQube Overall Coverage là "&amp;TEXT(B7,"0.00%")&amp;", nhưng hai con số KHÔNG thể so trực tiếp vì khác phạm vi và cách đo."</x:f>
        <x:v>Bộ BVA Seat + Room + Theatre đạt 75.00% logic/decision coverage (18/24 outcomes). SonarQube Overall Coverage là 32.40%, nhưng hai con số KHÔNG thể so trực tiếp vì khác phạm vi và cách đo.</x:v>
      </x:c>
      <x:c r="F5" s="121"/>
      <x:c r="G5" s="121"/>
      <x:c r="H5" s="121"/>
    </x:row>
    <x:row r="6">
      <x:c r="A6" s="32" t="str">
        <x:v>Manual BVA Path Coverage</x:v>
      </x:c>
      <x:c r="B6" s="98" t="n">
        <x:f>'Manual BVA Coverage'!G8</x:f>
        <x:v>0.5</x:v>
      </x:c>
      <x:c r="C6" s="32" t="str">
        <x:v>Đường validation độc lập được BVA chạm tới</x:v>
      </x:c>
      <x:c r="E6" s="121"/>
      <x:c r="F6" s="121"/>
      <x:c r="G6" s="121"/>
      <x:c r="H6" s="121"/>
    </x:row>
    <x:row r="7">
      <x:c r="A7" s="32" t="str">
        <x:v>SonarQube Overall Coverage</x:v>
      </x:c>
      <x:c r="B7" s="108" t="n">
        <x:v>0.324</x:v>
      </x:c>
      <x:c r="C7" s="32" t="str">
        <x:v>Coverage toàn project theo SonarQube</x:v>
      </x:c>
      <x:c r="E7" s="121"/>
      <x:c r="F7" s="121"/>
      <x:c r="G7" s="121"/>
      <x:c r="H7" s="121"/>
    </x:row>
    <x:row r="8">
      <x:c r="A8" s="32" t="str">
        <x:v>SonarQube Duplications</x:v>
      </x:c>
      <x:c r="B8" s="98" t="n">
        <x:v>0.006</x:v>
      </x:c>
      <x:c r="C8" s="32" t="str">
        <x:v>Duplication toàn project</x:v>
      </x:c>
      <x:c r="E8" s="121"/>
      <x:c r="F8" s="121"/>
      <x:c r="G8" s="121"/>
      <x:c r="H8" s="121"/>
    </x:row>
    <x:row r="11">
      <x:c r="A11" s="128" t="str">
        <x:v>Module</x:v>
      </x:c>
      <x:c r="B11" s="128" t="str">
        <x:v>Covered Outcomes</x:v>
      </x:c>
      <x:c r="C11" s="128" t="str">
        <x:v>Total Outcomes</x:v>
      </x:c>
      <x:c r="D11" s="128" t="str">
        <x:v>Decision Coverage</x:v>
      </x:c>
      <x:c r="E11" s="128" t="str">
        <x:v>Path Coverage</x:v>
      </x:c>
      <x:c r="F11" s="128" t="str">
        <x:v>BVA Cases</x:v>
      </x:c>
    </x:row>
    <x:row r="12">
      <x:c r="A12" t="str">
        <x:v>Seat</x:v>
      </x:c>
      <x:c r="B12" t="n">
        <x:v>7</x:v>
      </x:c>
      <x:c r="C12" t="n">
        <x:v>10</x:v>
      </x:c>
      <x:c r="D12" s="28" t="n">
        <x:v>0.7</x:v>
      </x:c>
      <x:c r="E12" s="28" t="n">
        <x:v>0.4</x:v>
      </x:c>
      <x:c r="F12" t="n">
        <x:v>6</x:v>
      </x:c>
    </x:row>
    <x:row r="13">
      <x:c r="A13" t="str">
        <x:v>Room</x:v>
      </x:c>
      <x:c r="B13" t="n">
        <x:v>6</x:v>
      </x:c>
      <x:c r="C13" t="n">
        <x:v>8</x:v>
      </x:c>
      <x:c r="D13" s="28" t="n">
        <x:v>0.75</x:v>
      </x:c>
      <x:c r="E13" s="28" t="n">
        <x:v>0.5</x:v>
      </x:c>
      <x:c r="F13" t="n">
        <x:v>4</x:v>
      </x:c>
    </x:row>
    <x:row r="14">
      <x:c r="A14" t="str">
        <x:v>Theatre</x:v>
      </x:c>
      <x:c r="B14" t="n">
        <x:v>5</x:v>
      </x:c>
      <x:c r="C14" t="n">
        <x:v>6</x:v>
      </x:c>
      <x:c r="D14" s="28" t="n">
        <x:v>0.8333333333333334</x:v>
      </x:c>
      <x:c r="E14" s="28" t="n">
        <x:v>0.6666666666666666</x:v>
      </x:c>
      <x:c r="F14" t="n">
        <x:v>4</x:v>
      </x:c>
    </x:row>
    <x:row r="17">
      <x:c r="A17" s="133" t="str">
        <x:v>Cách trình bày khi báo cáo</x:v>
      </x:c>
      <x:c r="B17" s="133"/>
      <x:c r="C17" s="133"/>
      <x:c r="D17" s="133"/>
      <x:c r="E17" s="133"/>
      <x:c r="F17" s="133"/>
    </x:row>
    <x:row r="18">
      <x:c r="A18" s="74" t="str">
        <x:v>Có thể trình bày: “Theo mô hình white-box thủ công ở mức logic/decision, bộ BVA Seat + Room + Theatre đạt 75% (18/24 branch outcomes). Con số này không phải Sonar branch coverage. SonarQube hiện hiển thị Overall Coverage 32.4% cho toàn project, theo coverage report/runtime và phạm vi source cấu hình.”</x:v>
      </x:c>
      <x:c r="B18" s="74"/>
      <x:c r="C18" s="74"/>
      <x:c r="D18" s="74"/>
      <x:c r="E18" s="74"/>
      <x:c r="F18" s="74"/>
    </x:row>
    <x:row r="19">
      <x:c r="A19" s="74"/>
      <x:c r="B19" s="74"/>
      <x:c r="C19" s="74"/>
      <x:c r="D19" s="74"/>
      <x:c r="E19" s="74"/>
      <x:c r="F19" s="74"/>
    </x:row>
    <x:row r="20">
      <x:c r="A20" s="74"/>
      <x:c r="B20" s="74"/>
      <x:c r="C20" s="74"/>
      <x:c r="D20" s="74"/>
      <x:c r="E20" s="74"/>
      <x:c r="F20" s="74"/>
    </x:row>
    <x:row r="21">
      <x:c r="A21" s="74"/>
      <x:c r="B21" s="74"/>
      <x:c r="C21" s="74"/>
      <x:c r="D21" s="74"/>
      <x:c r="E21" s="74"/>
      <x:c r="F21" s="74"/>
    </x:row>
    <x:row r="22">
      <x:c r="A22" s="74"/>
      <x:c r="B22" s="74"/>
      <x:c r="C22" s="74"/>
      <x:c r="D22" s="74"/>
      <x:c r="E22" s="74"/>
      <x:c r="F22" s="74"/>
    </x:row>
  </x:sheetData>
  <x:mergeCells>
    <x:mergeCell ref="A1:H1"/>
    <x:mergeCell ref="A2:H2"/>
    <x:mergeCell ref="E4:H4"/>
    <x:mergeCell ref="E5:H8"/>
    <x:mergeCell ref="A17:F17"/>
    <x:mergeCell ref="A18:F22"/>
  </x:mergeCells>
  <x:pageMargins left="0.7" right="0.7" top="0.75" bottom="0.75" header="0.3" footer="0.3"/>
  <x:drawing xmlns:r="http://schemas.openxmlformats.org/officeDocument/2006/relationships" r:id="R1d9a0d61195a4fab"/>
  <x:tableParts count="1">
    <x:tablePart xmlns:r="http://schemas.openxmlformats.org/officeDocument/2006/relationships" r:id="R19219e8b32904f3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38" hidden="0" customWidth="1"/>
    <x:col min="4" max="4" width="15" hidden="0" customWidth="1"/>
    <x:col min="5" max="5" width="15" hidden="0" customWidth="1"/>
    <x:col min="6" max="6" width="16" hidden="0" customWidth="1"/>
    <x:col min="7" max="7" width="16" hidden="0" customWidth="1"/>
    <x:col min="8" max="8" width="34" hidden="0" customWidth="1"/>
  </x:cols>
  <x:sheetData>
    <x:row r="1">
      <x:c r="A1" s="4" t="str">
        <x:v>WHITE-BOX THỦ CÔNG — LOGIC / DECISION COVERAGE</x:v>
      </x:c>
      <x:c r="B1" s="4"/>
      <x:c r="C1" s="4"/>
      <x:c r="D1" s="4"/>
      <x:c r="E1" s="4"/>
      <x:c r="F1" s="4"/>
      <x:c r="G1" s="4"/>
      <x:c r="H1" s="4"/>
    </x:row>
    <x:row r="2" ht="36" customHeight="1">
      <x:c r="A2" s="11" t="str">
        <x:v>Phạm vi: bộ BVA Seat + Room + Theatre. Đây là mô hình thủ công ở mức logic/decision, không phải branch coverage runtime do Xdebug/Sonar tự đo.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Module</x:v>
      </x:c>
      <x:c r="B4" s="19" t="str">
        <x:v>Decision/Logic Outcomes</x:v>
      </x:c>
      <x:c r="C4" s="19" t="str">
        <x:v>Covered Outcomes</x:v>
      </x:c>
      <x:c r="D4" s="19" t="str">
        <x:v>Decision Coverage</x:v>
      </x:c>
      <x:c r="E4" s="19" t="str">
        <x:v>Independent Paths</x:v>
      </x:c>
      <x:c r="F4" s="19" t="str">
        <x:v>Covered Paths</x:v>
      </x:c>
      <x:c r="G4" s="19" t="str">
        <x:v>Path Coverage</x:v>
      </x:c>
      <x:c r="H4" s="19" t="str">
        <x:v>BVA Cases</x:v>
      </x:c>
    </x:row>
    <x:row r="5">
      <x:c r="A5" t="str">
        <x:v>Seat</x:v>
      </x:c>
      <x:c r="B5" t="n">
        <x:v>10</x:v>
      </x:c>
      <x:c r="C5" t="n">
        <x:v>7</x:v>
      </x:c>
      <x:c r="D5" s="28" t="n">
        <x:v>0.7</x:v>
      </x:c>
      <x:c r="E5" t="n">
        <x:v>5</x:v>
      </x:c>
      <x:c r="F5" t="n">
        <x:v>2</x:v>
      </x:c>
      <x:c r="G5" s="28" t="n">
        <x:v>0.4</x:v>
      </x:c>
      <x:c r="H5" t="n">
        <x:v>6</x:v>
      </x:c>
    </x:row>
    <x:row r="6">
      <x:c r="A6" t="str">
        <x:v>Room</x:v>
      </x:c>
      <x:c r="B6" t="n">
        <x:v>8</x:v>
      </x:c>
      <x:c r="C6" t="n">
        <x:v>6</x:v>
      </x:c>
      <x:c r="D6" s="28" t="n">
        <x:v>0.75</x:v>
      </x:c>
      <x:c r="E6" t="n">
        <x:v>4</x:v>
      </x:c>
      <x:c r="F6" t="n">
        <x:v>2</x:v>
      </x:c>
      <x:c r="G6" s="28" t="n">
        <x:v>0.5</x:v>
      </x:c>
      <x:c r="H6" t="n">
        <x:v>4</x:v>
      </x:c>
    </x:row>
    <x:row r="7">
      <x:c r="A7" t="str">
        <x:v>Theatre</x:v>
      </x:c>
      <x:c r="B7" t="n">
        <x:v>6</x:v>
      </x:c>
      <x:c r="C7" t="n">
        <x:v>5</x:v>
      </x:c>
      <x:c r="D7" s="28" t="n">
        <x:v>0.8333333333333334</x:v>
      </x:c>
      <x:c r="E7" t="n">
        <x:v>3</x:v>
      </x:c>
      <x:c r="F7" t="n">
        <x:v>2</x:v>
      </x:c>
      <x:c r="G7" s="28" t="n">
        <x:v>0.6666666666666666</x:v>
      </x:c>
      <x:c r="H7" t="n">
        <x:v>4</x:v>
      </x:c>
    </x:row>
    <x:row r="8">
      <x:c r="A8" s="25" t="str">
        <x:v>TOTAL</x:v>
      </x:c>
      <x:c r="B8" s="25" t="n">
        <x:f>SUM(B5:B7)</x:f>
        <x:v>24</x:v>
      </x:c>
      <x:c r="C8" s="25" t="n">
        <x:f>SUM(C5:C7)</x:f>
        <x:v>18</x:v>
      </x:c>
      <x:c r="D8" s="29" t="n">
        <x:f>C8/B8</x:f>
        <x:v>0.75</x:v>
      </x:c>
      <x:c r="E8" s="25" t="n">
        <x:f>SUM(E5:E7)</x:f>
        <x:v>12</x:v>
      </x:c>
      <x:c r="F8" s="25" t="n">
        <x:f>SUM(F5:F7)</x:f>
        <x:v>6</x:v>
      </x:c>
      <x:c r="G8" s="29" t="n">
        <x:f>F8/E8</x:f>
        <x:v>0.5</x:v>
      </x:c>
      <x:c r="H8" s="25" t="n">
        <x:f>SUM(H5:H7)</x:f>
        <x:v>14</x:v>
      </x:c>
    </x:row>
    <x:row r="11">
      <x:c r="A11" s="36" t="str">
        <x:v>Module</x:v>
      </x:c>
      <x:c r="B11" s="36" t="str">
        <x:v>Decision ID</x:v>
      </x:c>
      <x:c r="C11" s="36" t="str">
        <x:v>Decision/Điều kiện</x:v>
      </x:c>
      <x:c r="D11" s="36" t="str">
        <x:v>True được phủ?</x:v>
      </x:c>
      <x:c r="E11" s="36" t="str">
        <x:v>False được phủ?</x:v>
      </x:c>
      <x:c r="F11" s="36" t="str">
        <x:v>Covered Outcomes</x:v>
      </x:c>
      <x:c r="G11" s="36" t="str">
        <x:v>Total Outcomes</x:v>
      </x:c>
      <x:c r="H11" s="36" t="str">
        <x:v>Ghi chú</x:v>
      </x:c>
    </x:row>
    <x:row r="12">
      <x:c r="A12" s="32" t="str">
        <x:v>Seat</x:v>
      </x:c>
      <x:c r="B12" s="32" t="str">
        <x:v>S1</x:v>
      </x:c>
      <x:c r="C12" s="32" t="str">
        <x:v>validateSeatInput: if ($validation)</x:v>
      </x:c>
      <x:c r="D12" s="32" t="str">
        <x:v>Có</x:v>
      </x:c>
      <x:c r="E12" s="32" t="str">
        <x:v>Có</x:v>
      </x:c>
      <x:c r="F12" s="32" t="n">
        <x:v>2</x:v>
      </x:c>
      <x:c r="G12" s="32" t="n">
        <x:v>2</x:v>
      </x:c>
      <x:c r="H12" s="32" t="str">
        <x:v>BVA có cả input hợp lệ và không hợp lệ</x:v>
      </x:c>
    </x:row>
    <x:row r="13">
      <x:c r="A13" s="32" t="str">
        <x:v>Seat</x:v>
      </x:c>
      <x:c r="B13" s="32" t="str">
        <x:v>S2</x:v>
      </x:c>
      <x:c r="C13" s="32" t="str">
        <x:v>room_id &lt;= 0 OR room không tồn tại</x:v>
      </x:c>
      <x:c r="D13" s="32" t="str">
        <x:v>Không</x:v>
      </x:c>
      <x:c r="E13" s="32" t="str">
        <x:v>Có</x:v>
      </x:c>
      <x:c r="F13" s="32" t="n">
        <x:v>1</x:v>
      </x:c>
      <x:c r="G13" s="32" t="n">
        <x:v>2</x:v>
      </x:c>
      <x:c r="H13" s="32" t="str">
        <x:v>BVA Seat dùng room hợp lệ</x:v>
      </x:c>
    </x:row>
    <x:row r="14">
      <x:c r="A14" s="32" t="str">
        <x:v>Seat</x:v>
      </x:c>
      <x:c r="B14" s="32" t="str">
        <x:v>S3</x:v>
      </x:c>
      <x:c r="C14" s="32" t="str">
        <x:v>seat_row không thuộc A-H</x:v>
      </x:c>
      <x:c r="D14" s="32" t="str">
        <x:v>Không</x:v>
      </x:c>
      <x:c r="E14" s="32" t="str">
        <x:v>Có</x:v>
      </x:c>
      <x:c r="F14" s="32" t="n">
        <x:v>1</x:v>
      </x:c>
      <x:c r="G14" s="32" t="n">
        <x:v>2</x:v>
      </x:c>
      <x:c r="H14" s="32" t="str">
        <x:v>BVA Seat dùng row hợp lệ</x:v>
      </x:c>
    </x:row>
    <x:row r="15">
      <x:c r="A15" s="32" t="str">
        <x:v>Seat</x:v>
      </x:c>
      <x:c r="B15" s="32" t="str">
        <x:v>S4</x:v>
      </x:c>
      <x:c r="C15" s="32" t="str">
        <x:v>seat_number &lt; 1 OR &gt; 12</x:v>
      </x:c>
      <x:c r="D15" s="32" t="str">
        <x:v>Có</x:v>
      </x:c>
      <x:c r="E15" s="32" t="str">
        <x:v>Có</x:v>
      </x:c>
      <x:c r="F15" s="32" t="n">
        <x:v>2</x:v>
      </x:c>
      <x:c r="G15" s="32" t="n">
        <x:v>2</x:v>
      </x:c>
      <x:c r="H15" s="32" t="str">
        <x:v>Decision chính của BVA Seat</x:v>
      </x:c>
    </x:row>
    <x:row r="16">
      <x:c r="A16" s="32" t="str">
        <x:v>Seat</x:v>
      </x:c>
      <x:c r="B16" s="32" t="str">
        <x:v>S5</x:v>
      </x:c>
      <x:c r="C16" s="32" t="str">
        <x:v>seat_type_id không hợp lệ</x:v>
      </x:c>
      <x:c r="D16" s="32" t="str">
        <x:v>Không</x:v>
      </x:c>
      <x:c r="E16" s="32" t="str">
        <x:v>Có</x:v>
      </x:c>
      <x:c r="F16" s="32" t="n">
        <x:v>1</x:v>
      </x:c>
      <x:c r="G16" s="32" t="n">
        <x:v>2</x:v>
      </x:c>
      <x:c r="H16" s="32" t="str">
        <x:v>BVA Seat dùng seat type hợp lệ</x:v>
      </x:c>
    </x:row>
    <x:row r="17">
      <x:c r="A17" s="32" t="str">
        <x:v>Room</x:v>
      </x:c>
      <x:c r="B17" s="32" t="str">
        <x:v>R1</x:v>
      </x:c>
      <x:c r="C17" s="32" t="str">
        <x:v>validateRoomInput: if ($validation)</x:v>
      </x:c>
      <x:c r="D17" s="32" t="str">
        <x:v>Có</x:v>
      </x:c>
      <x:c r="E17" s="32" t="str">
        <x:v>Có</x:v>
      </x:c>
      <x:c r="F17" s="32" t="n">
        <x:v>2</x:v>
      </x:c>
      <x:c r="G17" s="32" t="n">
        <x:v>2</x:v>
      </x:c>
      <x:c r="H17" s="32" t="str">
        <x:v>Có cả validation error/success</x:v>
      </x:c>
    </x:row>
    <x:row r="18">
      <x:c r="A18" s="32" t="str">
        <x:v>Room</x:v>
      </x:c>
      <x:c r="B18" s="32" t="str">
        <x:v>R2</x:v>
      </x:c>
      <x:c r="C18" s="32" t="str">
        <x:v>name rỗng</x:v>
      </x:c>
      <x:c r="D18" s="32" t="str">
        <x:v>Không</x:v>
      </x:c>
      <x:c r="E18" s="32" t="str">
        <x:v>Có</x:v>
      </x:c>
      <x:c r="F18" s="32" t="n">
        <x:v>1</x:v>
      </x:c>
      <x:c r="G18" s="32" t="n">
        <x:v>2</x:v>
      </x:c>
      <x:c r="H18" s="32" t="str">
        <x:v>BVA Room dùng name hợp lệ</x:v>
      </x:c>
    </x:row>
    <x:row r="19">
      <x:c r="A19" s="32" t="str">
        <x:v>Room</x:v>
      </x:c>
      <x:c r="B19" s="32" t="str">
        <x:v>R3</x:v>
      </x:c>
      <x:c r="C19" s="32" t="str">
        <x:v>theatre_id &lt;= 0 OR rạp không tồn tại</x:v>
      </x:c>
      <x:c r="D19" s="32" t="str">
        <x:v>Không</x:v>
      </x:c>
      <x:c r="E19" s="32" t="str">
        <x:v>Có</x:v>
      </x:c>
      <x:c r="F19" s="32" t="n">
        <x:v>1</x:v>
      </x:c>
      <x:c r="G19" s="32" t="n">
        <x:v>2</x:v>
      </x:c>
      <x:c r="H19" s="32" t="str">
        <x:v>BVA Room dùng theatre hợp lệ</x:v>
      </x:c>
    </x:row>
    <x:row r="20">
      <x:c r="A20" s="32" t="str">
        <x:v>Room</x:v>
      </x:c>
      <x:c r="B20" s="32" t="str">
        <x:v>R4</x:v>
      </x:c>
      <x:c r="C20" s="32" t="str">
        <x:v>total_seats &lt; 1</x:v>
      </x:c>
      <x:c r="D20" s="32" t="str">
        <x:v>Có</x:v>
      </x:c>
      <x:c r="E20" s="32" t="str">
        <x:v>Có</x:v>
      </x:c>
      <x:c r="F20" s="32" t="n">
        <x:v>2</x:v>
      </x:c>
      <x:c r="G20" s="32" t="n">
        <x:v>2</x:v>
      </x:c>
      <x:c r="H20" s="32" t="str">
        <x:v>Decision chính của BVA Room</x:v>
      </x:c>
    </x:row>
    <x:row r="21">
      <x:c r="A21" s="32" t="str">
        <x:v>Theatre</x:v>
      </x:c>
      <x:c r="B21" s="32" t="str">
        <x:v>T1</x:v>
      </x:c>
      <x:c r="C21" s="32" t="str">
        <x:v>validateTheatreInput: if ($validation)</x:v>
      </x:c>
      <x:c r="D21" s="32" t="str">
        <x:v>Có</x:v>
      </x:c>
      <x:c r="E21" s="32" t="str">
        <x:v>Có</x:v>
      </x:c>
      <x:c r="F21" s="32" t="n">
        <x:v>2</x:v>
      </x:c>
      <x:c r="G21" s="32" t="n">
        <x:v>2</x:v>
      </x:c>
      <x:c r="H21" s="32" t="str">
        <x:v>Có cả validation error/success</x:v>
      </x:c>
    </x:row>
    <x:row r="22">
      <x:c r="A22" s="32" t="str">
        <x:v>Theatre</x:v>
      </x:c>
      <x:c r="B22" s="32" t="str">
        <x:v>T2</x:v>
      </x:c>
      <x:c r="C22" s="32" t="str">
        <x:v>name rỗng</x:v>
      </x:c>
      <x:c r="D22" s="32" t="str">
        <x:v>Không</x:v>
      </x:c>
      <x:c r="E22" s="32" t="str">
        <x:v>Có</x:v>
      </x:c>
      <x:c r="F22" s="32" t="n">
        <x:v>1</x:v>
      </x:c>
      <x:c r="G22" s="32" t="n">
        <x:v>2</x:v>
      </x:c>
      <x:c r="H22" s="32" t="str">
        <x:v>BVA Theatre dùng name hợp lệ</x:v>
      </x:c>
    </x:row>
    <x:row r="23">
      <x:c r="A23" s="32" t="str">
        <x:v>Theatre</x:v>
      </x:c>
      <x:c r="B23" s="32" t="str">
        <x:v>T3</x:v>
      </x:c>
      <x:c r="C23" s="32" t="str">
        <x:v>total_screens &lt; 1</x:v>
      </x:c>
      <x:c r="D23" s="32" t="str">
        <x:v>Có</x:v>
      </x:c>
      <x:c r="E23" s="32" t="str">
        <x:v>Có</x:v>
      </x:c>
      <x:c r="F23" s="32" t="n">
        <x:v>2</x:v>
      </x:c>
      <x:c r="G23" s="32" t="n">
        <x:v>2</x:v>
      </x:c>
      <x:c r="H23" s="32" t="str">
        <x:v>Decision chính của BVA Theatre</x:v>
      </x:c>
    </x:row>
  </x:sheetData>
  <x:mergeCells>
    <x:mergeCell ref="A1:H1"/>
    <x:mergeCell ref="A2:H2"/>
  </x:mergeCells>
  <x:conditionalFormatting sqref="D12:E23">
    <x:cfRule type="expression" dxfId="0" priority="1">
      <x:formula>D12="Có"</x:formula>
    </x:cfRule>
    <x:cfRule type="expression" dxfId="1" priority="2">
      <x:formula>D12="Không"</x:formula>
    </x:cfRule>
  </x:conditionalFormatting>
  <x:pageMargins left="0.7" right="0.7" top="0.75" bottom="0.75" header="0.3" footer="0.3"/>
  <x:tableParts count="2">
    <x:tablePart xmlns:r="http://schemas.openxmlformats.org/officeDocument/2006/relationships" r:id="R5ccdee4b7de54b65"/>
    <x:tablePart xmlns:r="http://schemas.openxmlformats.org/officeDocument/2006/relationships" r:id="Reb5ffa9be2c640c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38" hidden="0" customWidth="1"/>
    <x:col min="4" max="4" width="3" hidden="0" customWidth="1"/>
    <x:col min="5" max="5" width="28" hidden="0" customWidth="1"/>
    <x:col min="6" max="6" width="62" hidden="0" customWidth="1"/>
  </x:cols>
  <x:sheetData>
    <x:row r="1">
      <x:c r="A1" s="42" t="str">
        <x:v>SONARQUBE CLOUD — SNAPSHOT PROJECT KCPM</x:v>
      </x:c>
      <x:c r="B1" s="42"/>
      <x:c r="C1" s="42"/>
      <x:c r="D1" s="42"/>
      <x:c r="E1" s="42"/>
      <x:c r="F1" s="42"/>
    </x:row>
    <x:row r="2">
      <x:c r="A2" s="48" t="str">
        <x:v>Dữ liệu lấy từ ảnh SonarQube Cloud do người dùng cung cấp cho branch main.</x:v>
      </x:c>
      <x:c r="B2" s="48"/>
      <x:c r="C2" s="48"/>
      <x:c r="D2" s="48"/>
      <x:c r="E2" s="48"/>
      <x:c r="F2" s="48"/>
    </x:row>
    <x:row r="4">
      <x:c r="A4" s="54" t="str">
        <x:v>Metric</x:v>
      </x:c>
      <x:c r="B4" s="54" t="str">
        <x:v>Giá trị</x:v>
      </x:c>
      <x:c r="C4" s="54" t="str">
        <x:v>Ghi chú</x:v>
      </x:c>
      <x:c r="E4" s="62" t="str">
        <x:v>Nguồn</x:v>
      </x:c>
      <x:c r="F4" s="62" t="str">
        <x:v>URL</x:v>
      </x:c>
    </x:row>
    <x:row r="5">
      <x:c r="A5" s="32" t="str">
        <x:v>Quality Gate</x:v>
      </x:c>
      <x:c r="B5" s="32" t="str">
        <x:v>Failed</x:v>
      </x:c>
      <x:c r="C5" s="32" t="str">
        <x:v>New Code có 1 điều kiện failed</x:v>
      </x:c>
      <x:c r="E5" t="str">
        <x:v>SonarQube Cloud project</x:v>
      </x:c>
      <x:c r="F5" s="67" t="str">
        <x:v>https://sonarcloud.io/project/overview?id=TranHuuLoiDev_KCPM</x:v>
      </x:c>
    </x:row>
    <x:row r="6">
      <x:c r="A6" s="32" t="str">
        <x:v>Overall Coverage</x:v>
      </x:c>
      <x:c r="B6" s="58" t="n">
        <x:v>0.324</x:v>
      </x:c>
      <x:c r="C6" s="32" t="str">
        <x:v>Coverage toàn project theo SonarQube</x:v>
      </x:c>
      <x:c r="E6" t="str">
        <x:v>Repository</x:v>
      </x:c>
      <x:c r="F6" s="67" t="str">
        <x:v>https://github.com/TranHuuLoiDev/KCPM</x:v>
      </x:c>
    </x:row>
    <x:row r="7">
      <x:c r="A7" s="32" t="str">
        <x:v>Lines to Cover</x:v>
      </x:c>
      <x:c r="B7" s="32" t="str">
        <x:v>3.7k</x:v>
      </x:c>
      <x:c r="C7" s="32" t="str">
        <x:v>Hiển thị trên dashboard Overall Code</x:v>
      </x:c>
      <x:c r="E7" t="str">
        <x:v>Sonar config</x:v>
      </x:c>
      <x:c r="F7" s="67" t="str">
        <x:v>https://github.com/TranHuuLoiDev/KCPM/blob/main/sonar-project.properties</x:v>
      </x:c>
    </x:row>
    <x:row r="8">
      <x:c r="A8" s="32" t="str">
        <x:v>Duplications</x:v>
      </x:c>
      <x:c r="B8" s="58" t="n">
        <x:v>0.006</x:v>
      </x:c>
      <x:c r="C8" s="32" t="str">
        <x:v>Overall Code</x:v>
      </x:c>
    </x:row>
    <x:row r="9">
      <x:c r="A9" s="32" t="str">
        <x:v>Security Issues</x:v>
      </x:c>
      <x:c r="B9" s="32" t="n">
        <x:v>10</x:v>
      </x:c>
      <x:c r="C9" s="32" t="str">
        <x:v>Rating E</x:v>
      </x:c>
    </x:row>
    <x:row r="10">
      <x:c r="A10" s="32" t="str">
        <x:v>Reliability Issues</x:v>
      </x:c>
      <x:c r="B10" s="32" t="n">
        <x:v>116</x:v>
      </x:c>
      <x:c r="C10" s="32" t="str">
        <x:v>Rating C</x:v>
      </x:c>
      <x:c r="E10" s="71" t="str">
        <x:v>Điểm cần phân biệt</x:v>
      </x:c>
      <x:c r="F10" s="71"/>
    </x:row>
    <x:row r="11">
      <x:c r="A11" s="32" t="str">
        <x:v>Maintainability Issues</x:v>
      </x:c>
      <x:c r="B11" s="32" t="n">
        <x:v>244</x:v>
      </x:c>
      <x:c r="C11" s="32" t="str">
        <x:v>Rating A</x:v>
      </x:c>
      <x:c r="E11" s="74" t="str">
        <x:v>32.4% là Overall Coverage do SonarQube tính trên phạm vi source được cấu hình và coverage.xml. Nó KHÔNG phải độ phủ riêng của bộ BVA Seat + Room + Theatre. Con số 75% trong workbook là manual logic/decision coverage của đúng bộ BVA đó.</x:v>
      </x:c>
      <x:c r="F11" s="74"/>
    </x:row>
    <x:row r="12">
      <x:c r="A12" s="32" t="str">
        <x:v>Accepted Issues</x:v>
      </x:c>
      <x:c r="B12" s="32" t="n">
        <x:v>0</x:v>
      </x:c>
      <x:c r="C12" s="32" t="str">
        <x:v>Không có accepted issues</x:v>
      </x:c>
      <x:c r="E12" s="74"/>
      <x:c r="F12" s="74"/>
    </x:row>
    <x:row r="13">
      <x:c r="A13" s="32" t="str">
        <x:v>Security Hotspots</x:v>
      </x:c>
      <x:c r="B13" s="32" t="n">
        <x:v>0</x:v>
      </x:c>
      <x:c r="C13" s="32" t="str">
        <x:v>Không có hotspot</x:v>
      </x:c>
      <x:c r="E13" s="74"/>
      <x:c r="F13" s="74"/>
    </x:row>
    <x:row r="14">
      <x:c r="A14" s="32" t="str">
        <x:v>Lines of Code</x:v>
      </x:c>
      <x:c r="B14" s="32" t="str">
        <x:v>13k</x:v>
      </x:c>
      <x:c r="C14" s="32" t="str">
        <x:v>Khoảng 13k LOC</x:v>
      </x:c>
      <x:c r="E14" s="74"/>
      <x:c r="F14" s="74"/>
    </x:row>
    <x:row r="15">
      <x:c r="A15" s="32" t="str">
        <x:v>Version</x:v>
      </x:c>
      <x:c r="B15" s="32" t="str">
        <x:v>1.0</x:v>
      </x:c>
      <x:c r="C15" s="32" t="str">
        <x:v>Branch main</x:v>
      </x:c>
      <x:c r="E15" s="74"/>
      <x:c r="F15" s="74"/>
    </x:row>
  </x:sheetData>
  <x:mergeCells>
    <x:mergeCell ref="A1:F1"/>
    <x:mergeCell ref="A2:F2"/>
    <x:mergeCell ref="E10:F10"/>
    <x:mergeCell ref="E11:F15"/>
  </x:mergeCells>
  <x:pageMargins left="0.7" right="0.7" top="0.75" bottom="0.75" header="0.3" footer="0.3"/>
  <x:tableParts count="1">
    <x:tablePart xmlns:r="http://schemas.openxmlformats.org/officeDocument/2006/relationships" r:id="R3bec6c8559cd4ed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3" hidden="0" customWidth="1"/>
    <x:col min="3" max="3" width="18" hidden="0" customWidth="1"/>
    <x:col min="4" max="4" width="12" hidden="0" customWidth="1"/>
    <x:col min="5" max="5" width="16" hidden="0" customWidth="1"/>
    <x:col min="6" max="6" width="13" hidden="0" customWidth="1"/>
  </x:cols>
  <x:sheetData>
    <x:row r="1">
      <x:c r="A1" s="4" t="str">
        <x:v>BVA TEST CASES — SEAT + ROOM + THEATRE</x:v>
      </x:c>
      <x:c r="B1" s="4"/>
      <x:c r="C1" s="4"/>
      <x:c r="D1" s="4"/>
      <x:c r="E1" s="4"/>
      <x:c r="F1" s="4"/>
    </x:row>
    <x:row r="3">
      <x:c r="A3" s="19" t="str">
        <x:v>Module</x:v>
      </x:c>
      <x:c r="B3" s="19" t="str">
        <x:v>Test Case</x:v>
      </x:c>
      <x:c r="C3" s="19" t="str">
        <x:v>Field</x:v>
      </x:c>
      <x:c r="D3" s="19" t="str">
        <x:v>Input</x:v>
      </x:c>
      <x:c r="E3" s="19" t="str">
        <x:v>Boundary</x:v>
      </x:c>
      <x:c r="F3" s="19" t="str">
        <x:v>Expected</x:v>
      </x:c>
    </x:row>
    <x:row r="4">
      <x:c r="A4" s="32" t="str">
        <x:v>Seat</x:v>
      </x:c>
      <x:c r="B4" s="32" t="str">
        <x:v>TC-SEAT-BVA-01</x:v>
      </x:c>
      <x:c r="C4" s="32" t="str">
        <x:v>seat_number</x:v>
      </x:c>
      <x:c r="D4" s="32" t="n">
        <x:v>0</x:v>
      </x:c>
      <x:c r="E4" s="32" t="str">
        <x:v>MIN - 1</x:v>
      </x:c>
      <x:c r="F4" s="32" t="str">
        <x:v>error</x:v>
      </x:c>
    </x:row>
    <x:row r="5">
      <x:c r="A5" s="32" t="str">
        <x:v>Seat</x:v>
      </x:c>
      <x:c r="B5" s="32" t="str">
        <x:v>TC-SEAT-BVA-02</x:v>
      </x:c>
      <x:c r="C5" s="32" t="str">
        <x:v>seat_number</x:v>
      </x:c>
      <x:c r="D5" s="32" t="n">
        <x:v>1</x:v>
      </x:c>
      <x:c r="E5" s="32" t="str">
        <x:v>MIN</x:v>
      </x:c>
      <x:c r="F5" s="32" t="str">
        <x:v>success</x:v>
      </x:c>
    </x:row>
    <x:row r="6">
      <x:c r="A6" s="32" t="str">
        <x:v>Seat</x:v>
      </x:c>
      <x:c r="B6" s="32" t="str">
        <x:v>TC-SEAT-BVA-03</x:v>
      </x:c>
      <x:c r="C6" s="32" t="str">
        <x:v>seat_number</x:v>
      </x:c>
      <x:c r="D6" s="32" t="n">
        <x:v>2</x:v>
      </x:c>
      <x:c r="E6" s="32" t="str">
        <x:v>MIN + 1</x:v>
      </x:c>
      <x:c r="F6" s="32" t="str">
        <x:v>success</x:v>
      </x:c>
    </x:row>
    <x:row r="7">
      <x:c r="A7" s="32" t="str">
        <x:v>Seat</x:v>
      </x:c>
      <x:c r="B7" s="32" t="str">
        <x:v>TC-SEAT-BVA-04</x:v>
      </x:c>
      <x:c r="C7" s="32" t="str">
        <x:v>seat_number</x:v>
      </x:c>
      <x:c r="D7" s="32" t="n">
        <x:v>11</x:v>
      </x:c>
      <x:c r="E7" s="32" t="str">
        <x:v>MAX - 1</x:v>
      </x:c>
      <x:c r="F7" s="32" t="str">
        <x:v>success</x:v>
      </x:c>
    </x:row>
    <x:row r="8">
      <x:c r="A8" s="32" t="str">
        <x:v>Seat</x:v>
      </x:c>
      <x:c r="B8" s="32" t="str">
        <x:v>TC-SEAT-BVA-05</x:v>
      </x:c>
      <x:c r="C8" s="32" t="str">
        <x:v>seat_number</x:v>
      </x:c>
      <x:c r="D8" s="32" t="n">
        <x:v>12</x:v>
      </x:c>
      <x:c r="E8" s="32" t="str">
        <x:v>MAX</x:v>
      </x:c>
      <x:c r="F8" s="32" t="str">
        <x:v>success</x:v>
      </x:c>
    </x:row>
    <x:row r="9">
      <x:c r="A9" s="32" t="str">
        <x:v>Seat</x:v>
      </x:c>
      <x:c r="B9" s="32" t="str">
        <x:v>TC-SEAT-BVA-06</x:v>
      </x:c>
      <x:c r="C9" s="32" t="str">
        <x:v>seat_number</x:v>
      </x:c>
      <x:c r="D9" s="32" t="n">
        <x:v>13</x:v>
      </x:c>
      <x:c r="E9" s="32" t="str">
        <x:v>MAX + 1</x:v>
      </x:c>
      <x:c r="F9" s="32" t="str">
        <x:v>error</x:v>
      </x:c>
    </x:row>
    <x:row r="10">
      <x:c r="A10" s="32" t="str">
        <x:v>Room</x:v>
      </x:c>
      <x:c r="B10" s="32" t="str">
        <x:v>TC-ROOM-BVA-01</x:v>
      </x:c>
      <x:c r="C10" s="32" t="str">
        <x:v>total_seats</x:v>
      </x:c>
      <x:c r="D10" s="32" t="n">
        <x:v>-1</x:v>
      </x:c>
      <x:c r="E10" s="32" t="str">
        <x:v>MIN - 2</x:v>
      </x:c>
      <x:c r="F10" s="32" t="str">
        <x:v>error</x:v>
      </x:c>
    </x:row>
    <x:row r="11">
      <x:c r="A11" s="32" t="str">
        <x:v>Room</x:v>
      </x:c>
      <x:c r="B11" s="32" t="str">
        <x:v>TC-ROOM-BVA-02</x:v>
      </x:c>
      <x:c r="C11" s="32" t="str">
        <x:v>total_seats</x:v>
      </x:c>
      <x:c r="D11" s="32" t="n">
        <x:v>0</x:v>
      </x:c>
      <x:c r="E11" s="32" t="str">
        <x:v>MIN - 1</x:v>
      </x:c>
      <x:c r="F11" s="32" t="str">
        <x:v>error</x:v>
      </x:c>
    </x:row>
    <x:row r="12">
      <x:c r="A12" s="32" t="str">
        <x:v>Room</x:v>
      </x:c>
      <x:c r="B12" s="32" t="str">
        <x:v>TC-ROOM-BVA-03</x:v>
      </x:c>
      <x:c r="C12" s="32" t="str">
        <x:v>total_seats</x:v>
      </x:c>
      <x:c r="D12" s="32" t="n">
        <x:v>1</x:v>
      </x:c>
      <x:c r="E12" s="32" t="str">
        <x:v>MIN</x:v>
      </x:c>
      <x:c r="F12" s="32" t="str">
        <x:v>success</x:v>
      </x:c>
    </x:row>
    <x:row r="13">
      <x:c r="A13" s="32" t="str">
        <x:v>Room</x:v>
      </x:c>
      <x:c r="B13" s="32" t="str">
        <x:v>TC-ROOM-BVA-04</x:v>
      </x:c>
      <x:c r="C13" s="32" t="str">
        <x:v>total_seats</x:v>
      </x:c>
      <x:c r="D13" s="32" t="n">
        <x:v>2</x:v>
      </x:c>
      <x:c r="E13" s="32" t="str">
        <x:v>MIN + 1</x:v>
      </x:c>
      <x:c r="F13" s="32" t="str">
        <x:v>success</x:v>
      </x:c>
    </x:row>
    <x:row r="14">
      <x:c r="A14" s="32" t="str">
        <x:v>Theatre</x:v>
      </x:c>
      <x:c r="B14" s="32" t="str">
        <x:v>TC-THEATRE-BVA-01</x:v>
      </x:c>
      <x:c r="C14" s="32" t="str">
        <x:v>total_screens</x:v>
      </x:c>
      <x:c r="D14" s="32" t="n">
        <x:v>-1</x:v>
      </x:c>
      <x:c r="E14" s="32" t="str">
        <x:v>MIN - 2</x:v>
      </x:c>
      <x:c r="F14" s="32" t="str">
        <x:v>error</x:v>
      </x:c>
    </x:row>
    <x:row r="15">
      <x:c r="A15" s="32" t="str">
        <x:v>Theatre</x:v>
      </x:c>
      <x:c r="B15" s="32" t="str">
        <x:v>TC-THEATRE-BVA-02</x:v>
      </x:c>
      <x:c r="C15" s="32" t="str">
        <x:v>total_screens</x:v>
      </x:c>
      <x:c r="D15" s="32" t="n">
        <x:v>0</x:v>
      </x:c>
      <x:c r="E15" s="32" t="str">
        <x:v>MIN - 1</x:v>
      </x:c>
      <x:c r="F15" s="32" t="str">
        <x:v>error</x:v>
      </x:c>
    </x:row>
    <x:row r="16">
      <x:c r="A16" s="32" t="str">
        <x:v>Theatre</x:v>
      </x:c>
      <x:c r="B16" s="32" t="str">
        <x:v>TC-THEATRE-BVA-03</x:v>
      </x:c>
      <x:c r="C16" s="32" t="str">
        <x:v>total_screens</x:v>
      </x:c>
      <x:c r="D16" s="32" t="n">
        <x:v>1</x:v>
      </x:c>
      <x:c r="E16" s="32" t="str">
        <x:v>MIN</x:v>
      </x:c>
      <x:c r="F16" s="32" t="str">
        <x:v>success</x:v>
      </x:c>
    </x:row>
    <x:row r="17">
      <x:c r="A17" s="32" t="str">
        <x:v>Theatre</x:v>
      </x:c>
      <x:c r="B17" s="32" t="str">
        <x:v>TC-THEATRE-BVA-04</x:v>
      </x:c>
      <x:c r="C17" s="32" t="str">
        <x:v>total_screens</x:v>
      </x:c>
      <x:c r="D17" s="32" t="n">
        <x:v>2</x:v>
      </x:c>
      <x:c r="E17" s="32" t="str">
        <x:v>MIN + 1</x:v>
      </x:c>
      <x:c r="F17" s="32" t="str">
        <x:v>success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84b38f64ba68429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2" hidden="0" customWidth="1"/>
    <x:col min="3" max="3" width="28" hidden="0" customWidth="1"/>
    <x:col min="4" max="4" width="22" hidden="0" customWidth="1"/>
    <x:col min="5" max="5" width="38" hidden="0" customWidth="1"/>
    <x:col min="6" max="6" width="16" hidden="0" customWidth="1"/>
  </x:cols>
  <x:sheetData>
    <x:row r="1">
      <x:c r="A1" s="4" t="str">
        <x:v>PHƯƠNG PHÁP TÍNH &amp; NGUỒN</x:v>
      </x:c>
      <x:c r="B1" s="4"/>
      <x:c r="C1" s="4"/>
      <x:c r="D1" s="4"/>
      <x:c r="E1" s="4"/>
      <x:c r="F1" s="4"/>
    </x:row>
    <x:row r="3">
      <x:c r="A3" s="18" t="str">
        <x:v>Nội dung</x:v>
      </x:c>
      <x:c r="B3" s="18" t="str">
        <x:v>Mô tả</x:v>
      </x:c>
    </x:row>
    <x:row r="4">
      <x:c r="A4" s="32" t="str">
        <x:v>Câu hỏi</x:v>
      </x:c>
      <x:c r="B4" s="32" t="str">
        <x:v>Bộ BVA Seat + Room + Theatre đạt độ phủ bao nhiêu %?</x:v>
      </x:c>
    </x:row>
    <x:row r="5">
      <x:c r="A5" s="32" t="str">
        <x:v>Mô hình</x:v>
      </x:c>
      <x:c r="B5" s="32" t="str">
        <x:v>White-box thủ công ở mức logic/decision.</x:v>
      </x:c>
    </x:row>
    <x:row r="6">
      <x:c r="A6" s="32" t="str">
        <x:v>Công thức chính</x:v>
      </x:c>
      <x:c r="B6" s="32" t="str">
        <x:v>Decision Coverage = Covered logic outcomes / Total logic outcomes.</x:v>
      </x:c>
    </x:row>
    <x:row r="7">
      <x:c r="A7" s="32" t="str">
        <x:v>Kết quả manual</x:v>
      </x:c>
      <x:c r="B7" s="32" t="str">
        <x:v>18 / 24 = 75.00%.</x:v>
      </x:c>
    </x:row>
    <x:row r="8">
      <x:c r="A8" s="32" t="str">
        <x:v>Không đồng nhất với Sonar</x:v>
      </x:c>
      <x:c r="B8" s="32" t="str">
        <x:v>Sonar Overall Coverage hiện hiển thị 32.4% trên toàn project.</x:v>
      </x:c>
    </x:row>
    <x:row r="11">
      <x:c r="A11" s="36" t="str">
        <x:v>Nguồn</x:v>
      </x:c>
      <x:c r="B11" s="36" t="str">
        <x:v>URL</x:v>
      </x:c>
      <x:c r="C11" s="36" t="str">
        <x:v>Vai trò</x:v>
      </x:c>
      <x:c r="D11" s="36" t="str">
        <x:v>Phạm vi</x:v>
      </x:c>
      <x:c r="E11" s="36" t="str">
        <x:v>Ghi chú</x:v>
      </x:c>
      <x:c r="F11" s="36" t="str">
        <x:v>Dùng trong file</x:v>
      </x:c>
    </x:row>
    <x:row r="12">
      <x:c r="A12" s="32" t="str">
        <x:v>SeatService.php</x:v>
      </x:c>
      <x:c r="B12" s="67" t="str">
        <x:v>https://github.com/TranHuuLoiDev/KCPM/blob/main/backend/app/Services/SeatService.php</x:v>
      </x:c>
      <x:c r="C12" s="32" t="str">
        <x:v>Xác định decision Seat</x:v>
      </x:c>
      <x:c r="D12" s="32" t="str">
        <x:v>Production code</x:v>
      </x:c>
      <x:c r="E12" s="32" t="str">
        <x:v>validateSeatInput / validateBase</x:v>
      </x:c>
      <x:c r="F12" s="32" t="str">
        <x:v>Có</x:v>
      </x:c>
    </x:row>
    <x:row r="13">
      <x:c r="A13" s="32" t="str">
        <x:v>RoomService.php</x:v>
      </x:c>
      <x:c r="B13" s="67" t="str">
        <x:v>https://github.com/TranHuuLoiDev/KCPM/blob/main/backend/app/Services/RoomService.php</x:v>
      </x:c>
      <x:c r="C13" s="32" t="str">
        <x:v>Xác định decision Room</x:v>
      </x:c>
      <x:c r="D13" s="32" t="str">
        <x:v>Production code</x:v>
      </x:c>
      <x:c r="E13" s="32" t="str">
        <x:v>validateRoomInput / validateBase</x:v>
      </x:c>
      <x:c r="F13" s="32" t="str">
        <x:v>Có</x:v>
      </x:c>
    </x:row>
    <x:row r="14">
      <x:c r="A14" s="32" t="str">
        <x:v>TheatreService.php</x:v>
      </x:c>
      <x:c r="B14" s="67" t="str">
        <x:v>https://github.com/TranHuuLoiDev/KCPM/blob/main/backend/app/Services/TheatreService.php</x:v>
      </x:c>
      <x:c r="C14" s="32" t="str">
        <x:v>Xác định decision Theatre</x:v>
      </x:c>
      <x:c r="D14" s="32" t="str">
        <x:v>Production code</x:v>
      </x:c>
      <x:c r="E14" s="32" t="str">
        <x:v>validateTheatreInput / validateBase</x:v>
      </x:c>
      <x:c r="F14" s="32" t="str">
        <x:v>Có</x:v>
      </x:c>
    </x:row>
    <x:row r="15">
      <x:c r="A15" s="32" t="str">
        <x:v>bva-cases.js</x:v>
      </x:c>
      <x:c r="B15" s="67" t="str">
        <x:v>https://github.com/TranHuuLoiDev/KCPM/blob/main/tests/bva/bva-cases.js</x:v>
      </x:c>
      <x:c r="C15" s="32" t="str">
        <x:v>Xác định test case BVA</x:v>
      </x:c>
      <x:c r="D15" s="32" t="str">
        <x:v>Test definitions</x:v>
      </x:c>
      <x:c r="E15" s="32" t="str">
        <x:v>Seat/Room/Theatre cases</x:v>
      </x:c>
      <x:c r="F15" s="32" t="str">
        <x:v>Có</x:v>
      </x:c>
    </x:row>
    <x:row r="16">
      <x:c r="A16" s="32" t="str">
        <x:v>sonar-project.properties</x:v>
      </x:c>
      <x:c r="B16" s="67" t="str">
        <x:v>https://github.com/TranHuuLoiDev/KCPM/blob/main/sonar-project.properties</x:v>
      </x:c>
      <x:c r="C16" s="32" t="str">
        <x:v>Xác định phạm vi Sonar</x:v>
      </x:c>
      <x:c r="D16" s="32" t="str">
        <x:v>Sonar config</x:v>
      </x:c>
      <x:c r="E16" s="32" t="str">
        <x:v>tests excluded; api.php coverage excluded</x:v>
      </x:c>
      <x:c r="F16" s="32" t="str">
        <x:v>Có</x:v>
      </x:c>
    </x:row>
    <x:row r="17">
      <x:c r="A17" s="32" t="str">
        <x:v>SonarQube Cloud</x:v>
      </x:c>
      <x:c r="B17" s="67" t="str">
        <x:v>https://sonarcloud.io/project/overview?id=TranHuuLoiDev_KCPM</x:v>
      </x:c>
      <x:c r="C17" s="32" t="str">
        <x:v>Snapshot metric</x:v>
      </x:c>
      <x:c r="D17" s="32" t="str">
        <x:v>Overall project</x:v>
      </x:c>
      <x:c r="E17" s="32" t="str">
        <x:v>Coverage 32.4%, duplication 0.6%, QG Failed</x:v>
      </x:c>
      <x:c r="F17" s="32" t="str">
        <x:v>Có</x:v>
      </x:c>
    </x:row>
  </x:sheetData>
  <x:mergeCells>
    <x:mergeCell ref="A1:F1"/>
  </x:mergeCells>
  <x:pageMargins left="0.7" right="0.7" top="0.75" bottom="0.75" header="0.3" footer="0.3"/>
  <x:tableParts count="2">
    <x:tablePart xmlns:r="http://schemas.openxmlformats.org/officeDocument/2006/relationships" r:id="R54e2f165e2ff4ff1"/>
    <x:tablePart xmlns:r="http://schemas.openxmlformats.org/officeDocument/2006/relationships" r:id="R82c13492da6f4f53"/>
  </x:tableParts>
</x:worksheet>
</file>