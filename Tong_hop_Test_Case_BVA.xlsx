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7d90f8c8a43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ổng quan" sheetId="1" r:id="R6d4ec617b47d4b2e"/>
    <x:sheet xmlns:r="http://schemas.openxmlformats.org/officeDocument/2006/relationships" name="Tổng hợp BVA" sheetId="2" r:id="R52538f691c8c46c1"/>
    <x:sheet xmlns:r="http://schemas.openxmlformats.org/officeDocument/2006/relationships" name="Booking mới" sheetId="3" r:id="R29999b05cd9548e8"/>
    <x:sheet xmlns:r="http://schemas.openxmlformats.org/officeDocument/2006/relationships" name="Nguồn" sheetId="4" r:id="Rcbeb9468c0c04d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5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4"/>
      <x:name val="Carlito"/>
    </x:font>
    <x:font>
      <x:b/>
      <x:sz val="11"/>
      <x:name val="Carlito"/>
    </x:font>
    <x:font>
      <x:b/>
      <x:sz val="14"/>
      <x:color rgb="FFFFFFFF"/>
      <x:name val="Carlito"/>
    </x:font>
    <x:font>
      <x:sz val="11"/>
      <x:color rgb="FF0563C1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5B9BD5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ED7D31"/>
      </x:patternFill>
    </x:fill>
    <x:fill>
      <x:patternFill patternType="solid">
        <x:fgColor rgb="FFFCE4D6"/>
      </x:patternFill>
    </x:fill>
    <x:fill>
      <x:patternFill patternType="solid">
        <x:fgColor rgb="FFC65911"/>
      </x:patternFill>
    </x:fill>
  </x:fills>
  <x:borders count="2">
    <x:border/>
    <x:border/>
  </x:borders>
  <x:cellStyleXfs count="1">
    <x:xf numFmtId="0" fontId="0" fillId="0" borderId="0"/>
  </x:cellStyleXfs>
  <x:cellXfs count="9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horizontal="center" wrapText="1"/>
    </x:xf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horizontal="center" wrapText="1"/>
    </x:xf>
    <x:xf numFmtId="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horizontal="center" wrapText="1"/>
    </x:xf>
    <x:xf numFmtId="0" fontId="6" fillId="7" borderId="1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horizontal="center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0" fillId="8" borderId="1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0" fontId="0" fillId="9" borderId="1" xfId="0" applyNumberFormat="1" applyFont="1" applyFill="1" applyBorder="1"/>
    <x:xf numFmtId="0" fontId="0" fillId="9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9" borderId="1" xfId="0" applyNumberFormat="1" applyFont="1" applyFill="1" applyBorder="1"/>
    <x:xf numFmtId="0" fontId="2" fillId="9" borderId="1" xfId="0" applyNumberFormat="1" applyFont="1" applyFill="1" applyBorder="1" applyAlignment="1">
      <x:alignment wrapText="1"/>
    </x:xf>
    <x:xf numFmtId="0" fontId="2" fillId="9" borderId="1" xfId="0" applyNumberFormat="1" applyFont="1" applyFill="1" applyBorder="1" applyAlignment="1">
      <x:alignment horizontal="center" wrapText="1"/>
    </x:xf>
    <x:xf numFmtId="0" fontId="0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0" fillId="10" borderId="1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horizontal="center" wrapText="1"/>
    </x:xf>
    <x:xf numFmtId="0" fontId="0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0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2E7D32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2E7D32"/>
      </x:font>
      <x:fill>
        <x:patternFill patternType="solid">
          <x:bgColor rgb="FFE2F0D9"/>
        </x:patternFill>
      </x:fill>
    </x:dxf>
    <x:dxf>
      <x:font>
        <x:b/>
        <x:color rgb="FF2E7D32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99bb1d5b55494f" /><Relationship Type="http://schemas.openxmlformats.org/officeDocument/2006/relationships/theme" Target="/xl/theme/theme1.xml" Id="Rc619c84731ce4526" /><Relationship Type="http://schemas.openxmlformats.org/officeDocument/2006/relationships/sharedStrings" Target="/xl/sharedStrings.xml" Id="Rd32649119c3041c0" /><Relationship Type="http://schemas.openxmlformats.org/officeDocument/2006/relationships/worksheet" Target="/xl/worksheets/sheet1.xml" Id="R6d4ec617b47d4b2e" /><Relationship Type="http://schemas.openxmlformats.org/officeDocument/2006/relationships/worksheet" Target="/xl/worksheets/sheet2.xml" Id="R52538f691c8c46c1" /><Relationship Type="http://schemas.openxmlformats.org/officeDocument/2006/relationships/worksheet" Target="/xl/worksheets/sheet3.xml" Id="R29999b05cd9548e8" /><Relationship Type="http://schemas.openxmlformats.org/officeDocument/2006/relationships/worksheet" Target="/xl/worksheets/sheet4.xml" Id="Rcbeb9468c0c04d9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c14aff0255453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Số lượng test case BVA theo module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Field chính</c:v>
          </c:tx>
          <c:cat>
            <c:strRef>
              <c:f>'Tổng quan'!$A$9:$A$14</c:f>
              <c:strCache>
                <c:ptCount val="0"/>
              </c:strCache>
            </c:strRef>
          </c:cat>
          <c:val>
            <c:numRef>
              <c:f>'Tổng quan'!$B$9:$B$14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Endpoint / Cách gọi</c:v>
          </c:tx>
          <c:cat>
            <c:strRef>
              <c:f>'Tổng quan'!$A$9:$A$14</c:f>
              <c:strCache>
                <c:ptCount val="0"/>
              </c:strCache>
            </c:strRef>
          </c:cat>
          <c:val>
            <c:numRef>
              <c:f>'Tổng quan'!$C$9:$C$14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Method</c:v>
          </c:tx>
          <c:cat>
            <c:strRef>
              <c:f>'Tổng quan'!$A$9:$A$14</c:f>
              <c:strCache>
                <c:ptCount val="0"/>
              </c:strCache>
            </c:strRef>
          </c:cat>
          <c:val>
            <c:numRef>
              <c:f>'Tổng quan'!$D$9:$D$14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Số test case</c:v>
          </c:tx>
          <c:cat>
            <c:strRef>
              <c:f>'Tổng quan'!$A$9:$A$14</c:f>
              <c:strCache>
                <c:ptCount val="0"/>
              </c:strCache>
            </c:strRef>
          </c:cat>
          <c:val>
            <c:numRef>
              <c:f>'Tổng quan'!$E$9:$E$14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3</xdr:row>
      <xdr:rowOff>0</xdr:rowOff>
    </xdr:from>
    <xdr:to>
      <xdr:col>17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c14aff0255453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ModuleSummaryTable" displayName="ModuleSummaryTable" ref="A8:I14" headerRowCount="1" totalsRowCount="0" totalsRowShown="0">
  <x:tableColumns count="9">
    <x:tableColumn id="1" name="Module"/>
    <x:tableColumn id="2" name="Field chính"/>
    <x:tableColumn id="3" name="Endpoint / Cách gọi"/>
    <x:tableColumn id="4" name="Method"/>
    <x:tableColumn id="5" name="Số test case"/>
    <x:tableColumn id="6" name="Success"/>
    <x:tableColumn id="7" name="Error"/>
    <x:tableColumn id="8" name="Trạng thái"/>
    <x:tableColumn id="9" name="Ghi chú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AllBVACasesTable" displayName="AllBVACasesTable" ref="A4:M66" headerRowCount="1" totalsRowCount="0" totalsRowShown="0">
  <x:tableColumns count="13">
    <x:tableColumn id="1" name="STT"/>
    <x:tableColumn id="2" name="Mã Test Case"/>
    <x:tableColumn id="3" name="Module"/>
    <x:tableColumn id="4" name="Service Method"/>
    <x:tableColumn id="5" name="Trường kiểm thử"/>
    <x:tableColumn id="6" name="Endpoint"/>
    <x:tableColumn id="7" name="Method"/>
    <x:tableColumn id="8" name="MIN"/>
    <x:tableColumn id="9" name="MAX"/>
    <x:tableColumn id="10" name="Vị trí biên"/>
    <x:tableColumn id="11" name="Input"/>
    <x:tableColumn id="12" name="Expected"/>
    <x:tableColumn id="13" name="Trạng thái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ookingCasesTable" displayName="BookingCasesTable" ref="A4:J43" headerRowCount="1" totalsRowCount="0" totalsRowShown="0">
  <x:tableColumns count="10">
    <x:tableColumn id="1" name="STT"/>
    <x:tableColumn id="2" name="Test Case"/>
    <x:tableColumn id="3" name="Service Method"/>
    <x:tableColumn id="4" name="Field"/>
    <x:tableColumn id="5" name="Endpoint"/>
    <x:tableColumn id="6" name="HTTP Method"/>
    <x:tableColumn id="7" name="Boundary"/>
    <x:tableColumn id="8" name="Input"/>
    <x:tableColumn id="9" name="Expected"/>
    <x:tableColumn id="10" name="Trạng thá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ookingMethodSummary" displayName="BookingMethodSummary" ref="A46:E53" headerRowCount="1" totalsRowCount="0" totalsRowShown="0">
  <x:tableColumns count="5">
    <x:tableColumn id="1" name="Service Method"/>
    <x:tableColumn id="2" name="Số test case"/>
    <x:tableColumn id="3" name="Success"/>
    <x:tableColumn id="4" name="Error"/>
    <x:tableColumn id="5" name="Endpoi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3:D6" headerRowCount="1" totalsRowCount="0" totalsRowShown="0">
  <x:tableColumns count="4">
    <x:tableColumn id="1" name="STT"/>
    <x:tableColumn id="2" name="Nguồn"/>
    <x:tableColumn id="3" name="URL"/>
    <x:tableColumn id="4" name="Mô tả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d7a38eb0dd44636" /><Relationship Type="http://schemas.openxmlformats.org/officeDocument/2006/relationships/table" Target="/xl/tables/table1.xml" Id="R9a74360a60764e6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5a1d4c73a5a4a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c69972c67c147f4" /><Relationship Type="http://schemas.openxmlformats.org/officeDocument/2006/relationships/table" Target="/xl/tables/table4.xml" Id="R28bf754e0ee244c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078b9a342f3c4e81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32" hidden="0" customWidth="1"/>
    <x:col min="4" max="4" width="18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31" hidden="0" customWidth="1"/>
    <x:col min="10" max="10" width="3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32" customHeight="1">
      <x:c r="A1" s="30" t="str">
        <x:v>TỔNG HỢP TEST CASE BVA - MOVIE TICKET BOOKING</x:v>
      </x:c>
      <x:c r="B1" s="30"/>
      <x:c r="C1" s="30"/>
      <x:c r="D1" s="30"/>
      <x:c r="E1" s="30"/>
      <x:c r="F1" s="30"/>
      <x:c r="G1" s="30"/>
      <x:c r="H1" s="30"/>
    </x:row>
    <x:row r="2" ht="24" customHeight="1">
      <x:c r="A2" s="12" t="str">
        <x:v>Cập nhật theo nhánh main sau PR module mới. Hiện có 6 module BVA, bao gồm Booking.</x:v>
      </x:c>
      <x:c r="B2" s="12"/>
      <x:c r="C2" s="12"/>
      <x:c r="D2" s="12"/>
      <x:c r="E2" s="12"/>
      <x:c r="F2" s="12"/>
      <x:c r="G2" s="12"/>
      <x:c r="H2" s="12"/>
    </x:row>
    <x:row r="4">
      <x:c r="A4" s="36" t="str">
        <x:v>Tổng module</x:v>
      </x:c>
      <x:c r="B4" s="36" t="str">
        <x:v>Tổng test case</x:v>
      </x:c>
      <x:c r="C4" s="36" t="str">
        <x:v>Expected Success</x:v>
      </x:c>
      <x:c r="D4" s="36" t="str">
        <x:v>Expected Error</x:v>
      </x:c>
    </x:row>
    <x:row r="5">
      <x:c r="A5" s="42" t="n">
        <x:f>COUNTA(A9:A14)</x:f>
        <x:v>6</x:v>
      </x:c>
      <x:c r="B5" s="42" t="n">
        <x:f>COUNTA('Tổng hợp BVA'!B5:B66)</x:f>
        <x:v>62</x:v>
      </x:c>
      <x:c r="C5" s="42" t="n">
        <x:f>COUNTIF('Tổng hợp BVA'!L5:L66,"success")</x:f>
        <x:v>40</x:v>
      </x:c>
      <x:c r="D5" s="42" t="n">
        <x:f>COUNTIF('Tổng hợp BVA'!L5:L66,"error")</x:f>
        <x:v>22</x:v>
      </x:c>
    </x:row>
    <x:row r="8">
      <x:c r="A8" s="21" t="str">
        <x:v>Module</x:v>
      </x:c>
      <x:c r="B8" s="21" t="str">
        <x:v>Field chính</x:v>
      </x:c>
      <x:c r="C8" s="21" t="str">
        <x:v>Endpoint / Cách gọi</x:v>
      </x:c>
      <x:c r="D8" s="21" t="str">
        <x:v>Method</x:v>
      </x:c>
      <x:c r="E8" s="21" t="str">
        <x:v>Số test case</x:v>
      </x:c>
      <x:c r="F8" s="21" t="str">
        <x:v>Success</x:v>
      </x:c>
      <x:c r="G8" s="21" t="str">
        <x:v>Error</x:v>
      </x:c>
      <x:c r="H8" s="21" t="str">
        <x:v>Trạng thái</x:v>
      </x:c>
      <x:c r="I8" s="21" t="str">
        <x:v>Ghi chú</x:v>
      </x:c>
    </x:row>
    <x:row r="9">
      <x:c r="A9" s="16" t="str">
        <x:v>Seat</x:v>
      </x:c>
      <x:c r="B9" s="16" t="str">
        <x:v>seat_number</x:v>
      </x:c>
      <x:c r="C9" s="16" t="str">
        <x:v>/seats/validate</x:v>
      </x:c>
      <x:c r="D9" s="16" t="str">
        <x:v>POST</x:v>
      </x:c>
      <x:c r="E9" s="26" t="n">
        <x:f>COUNTIF('Tổng hợp BVA'!C5:C66,A9)</x:f>
        <x:v>6</x:v>
      </x:c>
      <x:c r="F9" s="26" t="n">
        <x:f>COUNTIFS('Tổng hợp BVA'!C5:C66,A9,'Tổng hợp BVA'!L5:L66,"success")</x:f>
        <x:v>4</x:v>
      </x:c>
      <x:c r="G9" s="26" t="n">
        <x:f>COUNTIFS('Tổng hợp BVA'!C5:C66,A9,'Tổng hợp BVA'!L5:L66,"error")</x:f>
        <x:v>2</x:v>
      </x:c>
      <x:c r="H9" s="26" t="str">
        <x:v>Hoàn chỉnh</x:v>
      </x:c>
      <x:c r="I9" s="16" t="str"/>
    </x:row>
    <x:row r="10">
      <x:c r="A10" s="16" t="str">
        <x:v>Room</x:v>
      </x:c>
      <x:c r="B10" s="16" t="str">
        <x:v>total_seats</x:v>
      </x:c>
      <x:c r="C10" s="16" t="str">
        <x:v>/rooms/validate</x:v>
      </x:c>
      <x:c r="D10" s="16" t="str">
        <x:v>POST</x:v>
      </x:c>
      <x:c r="E10" s="26" t="n">
        <x:f>COUNTIF('Tổng hợp BVA'!C5:C66,A10)</x:f>
        <x:v>4</x:v>
      </x:c>
      <x:c r="F10" s="26" t="n">
        <x:f>COUNTIFS('Tổng hợp BVA'!C5:C66,A10,'Tổng hợp BVA'!L5:L66,"success")</x:f>
        <x:v>2</x:v>
      </x:c>
      <x:c r="G10" s="26" t="n">
        <x:f>COUNTIFS('Tổng hợp BVA'!C5:C66,A10,'Tổng hợp BVA'!L5:L66,"error")</x:f>
        <x:v>2</x:v>
      </x:c>
      <x:c r="H10" s="26" t="str">
        <x:v>Hoàn chỉnh</x:v>
      </x:c>
      <x:c r="I10" s="16" t="str"/>
    </x:row>
    <x:row r="11">
      <x:c r="A11" s="16" t="str">
        <x:v>Theatre</x:v>
      </x:c>
      <x:c r="B11" s="16" t="str">
        <x:v>total_screens</x:v>
      </x:c>
      <x:c r="C11" s="16" t="str">
        <x:v>/theatres/validate</x:v>
      </x:c>
      <x:c r="D11" s="16" t="str">
        <x:v>POST</x:v>
      </x:c>
      <x:c r="E11" s="26" t="n">
        <x:f>COUNTIF('Tổng hợp BVA'!C5:C66,A11)</x:f>
        <x:v>4</x:v>
      </x:c>
      <x:c r="F11" s="26" t="n">
        <x:f>COUNTIFS('Tổng hợp BVA'!C5:C66,A11,'Tổng hợp BVA'!L5:L66,"success")</x:f>
        <x:v>2</x:v>
      </x:c>
      <x:c r="G11" s="26" t="n">
        <x:f>COUNTIFS('Tổng hợp BVA'!C5:C66,A11,'Tổng hợp BVA'!L5:L66,"error")</x:f>
        <x:v>2</x:v>
      </x:c>
      <x:c r="H11" s="26" t="str">
        <x:v>Hoàn chỉnh</x:v>
      </x:c>
      <x:c r="I11" s="16" t="str"/>
    </x:row>
    <x:row r="12">
      <x:c r="A12" s="16" t="str">
        <x:v>Review</x:v>
      </x:c>
      <x:c r="B12" s="16" t="str">
        <x:v>rating</x:v>
      </x:c>
      <x:c r="C12" s="16" t="str">
        <x:v>/reviews/validate</x:v>
      </x:c>
      <x:c r="D12" s="16" t="str">
        <x:v>POST</x:v>
      </x:c>
      <x:c r="E12" s="26" t="n">
        <x:f>COUNTIF('Tổng hợp BVA'!C5:C66,A12)</x:f>
        <x:v>6</x:v>
      </x:c>
      <x:c r="F12" s="26" t="n">
        <x:f>COUNTIFS('Tổng hợp BVA'!C5:C66,A12,'Tổng hợp BVA'!L5:L66,"success")</x:f>
        <x:v>4</x:v>
      </x:c>
      <x:c r="G12" s="26" t="n">
        <x:f>COUNTIFS('Tổng hợp BVA'!C5:C66,A12,'Tổng hợp BVA'!L5:L66,"error")</x:f>
        <x:v>2</x:v>
      </x:c>
      <x:c r="H12" s="26" t="str">
        <x:v>Hoàn chỉnh</x:v>
      </x:c>
      <x:c r="I12" s="16" t="str"/>
    </x:row>
    <x:row r="13">
      <x:c r="A13" s="16" t="str">
        <x:v>Authentication</x:v>
      </x:c>
      <x:c r="B13" s="16" t="str">
        <x:v>password</x:v>
      </x:c>
      <x:c r="C13" s="16" t="str">
        <x:v>/register</x:v>
      </x:c>
      <x:c r="D13" s="16" t="str">
        <x:v>POST</x:v>
      </x:c>
      <x:c r="E13" s="26" t="n">
        <x:f>COUNTIF('Tổng hợp BVA'!C5:C66,A13)</x:f>
        <x:v>3</x:v>
      </x:c>
      <x:c r="F13" s="26" t="n">
        <x:f>COUNTIFS('Tổng hợp BVA'!C5:C66,A13,'Tổng hợp BVA'!L5:L66,"success")</x:f>
        <x:v>2</x:v>
      </x:c>
      <x:c r="G13" s="26" t="n">
        <x:f>COUNTIFS('Tổng hợp BVA'!C5:C66,A13,'Tổng hợp BVA'!L5:L66,"error")</x:f>
        <x:v>1</x:v>
      </x:c>
      <x:c r="H13" s="26" t="str">
        <x:v>Hoàn chỉnh</x:v>
      </x:c>
      <x:c r="I13" s="16" t="str"/>
    </x:row>
    <x:row r="14">
      <x:c r="A14" s="48" t="str">
        <x:v>Booking</x:v>
      </x:c>
      <x:c r="B14" s="48" t="str">
        <x:v>userId, showtimeId, seatIds, bookingId</x:v>
      </x:c>
      <x:c r="C14" s="48" t="str">
        <x:v>7 endpoint theo serviceMethod</x:v>
      </x:c>
      <x:c r="D14" s="48" t="str">
        <x:v>GET / POST / DELETE</x:v>
      </x:c>
      <x:c r="E14" s="49" t="n">
        <x:f>COUNTIF('Tổng hợp BVA'!C5:C66,A14)</x:f>
        <x:v>39</x:v>
      </x:c>
      <x:c r="F14" s="49" t="n">
        <x:f>COUNTIFS('Tổng hợp BVA'!C5:C66,A14,'Tổng hợp BVA'!L5:L66,"success")</x:f>
        <x:v>26</x:v>
      </x:c>
      <x:c r="G14" s="49" t="n">
        <x:f>COUNTIFS('Tổng hợp BVA'!C5:C66,A14,'Tổng hợp BVA'!L5:L66,"error")</x:f>
        <x:v>13</x:v>
      </x:c>
      <x:c r="H14" s="49" t="str">
        <x:v>Hoàn chỉnh</x:v>
      </x:c>
      <x:c r="I14" s="48" t="str">
        <x:v>Module mới trên main; 7 service method</x:v>
      </x:c>
    </x:row>
    <x:row r="17">
      <x:c r="A17" s="56" t="str">
        <x:v>MODULE MỚI: BOOKING</x:v>
      </x:c>
      <x:c r="B17" s="56"/>
      <x:c r="C17" s="56"/>
      <x:c r="D17" s="56"/>
      <x:c r="E17" s="56"/>
      <x:c r="F17" s="56"/>
    </x:row>
    <x:row r="18">
      <x:c r="A18" s="62" t="str">
        <x:v>Booking bổ sung 39 test case BVA, trải trên 7 service method: processBooking, getUserBookings, cancelBooking, getAdminBookingDetail, updateAdminBookingStatus, deleteAdminBooking và getTotalSpentByUser.</x:v>
      </x:c>
      <x:c r="B18" s="62"/>
      <x:c r="C18" s="62"/>
      <x:c r="D18" s="62"/>
      <x:c r="E18" s="62"/>
      <x:c r="F18" s="62"/>
    </x:row>
    <x:row r="19">
      <x:c r="A19" s="62"/>
      <x:c r="B19" s="62"/>
      <x:c r="C19" s="62"/>
      <x:c r="D19" s="62"/>
      <x:c r="E19" s="62"/>
      <x:c r="F19" s="62"/>
    </x:row>
    <x:row r="20">
      <x:c r="A20" s="62"/>
      <x:c r="B20" s="62"/>
      <x:c r="C20" s="62"/>
      <x:c r="D20" s="62"/>
      <x:c r="E20" s="62"/>
      <x:c r="F20" s="62"/>
    </x:row>
  </x:sheetData>
  <x:mergeCells>
    <x:mergeCell ref="A1:H1"/>
    <x:mergeCell ref="A2:H2"/>
    <x:mergeCell ref="A17:F17"/>
    <x:mergeCell ref="A18:F20"/>
  </x:mergeCells>
  <x:conditionalFormatting sqref="H9:H14">
    <x:cfRule type="expression" dxfId="3" priority="1">
      <x:formula>H9="Hoàn chỉnh"</x:formula>
    </x:cfRule>
  </x:conditionalFormatting>
  <x:pageMargins left="0.7" right="0.7" top="0.75" bottom="0.75" header="0.3" footer="0.3"/>
  <x:drawing xmlns:r="http://schemas.openxmlformats.org/officeDocument/2006/relationships" r:id="Rfd7a38eb0dd44636"/>
  <x:tableParts count="1">
    <x:tablePart xmlns:r="http://schemas.openxmlformats.org/officeDocument/2006/relationships" r:id="R9a74360a60764e6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4" hidden="0" customWidth="1"/>
    <x:col min="3" max="3" width="17" hidden="0" customWidth="1"/>
    <x:col min="4" max="4" width="27" hidden="0" customWidth="1"/>
    <x:col min="5" max="5" width="18" hidden="0" customWidth="1"/>
    <x:col min="6" max="6" width="32" hidden="0" customWidth="1"/>
    <x:col min="7" max="7" width="10" hidden="0" customWidth="1"/>
    <x:col min="8" max="8" width="9" hidden="0" customWidth="1"/>
    <x:col min="9" max="9" width="9" hidden="0" customWidth="1"/>
    <x:col min="10" max="10" width="14" hidden="0" customWidth="1"/>
    <x:col min="11" max="11" width="16" hidden="0" customWidth="1"/>
    <x:col min="12" max="12" width="12" hidden="0" customWidth="1"/>
    <x:col min="13" max="13" width="16" hidden="0" customWidth="1"/>
  </x:cols>
  <x:sheetData>
    <x:row r="1" ht="30" customHeight="1">
      <x:c r="A1" s="5" t="str">
        <x:v>DANH SÁCH TEST CASE BVA ĐÃ HOÀN CHỈNH - CẬP NHẬT MAIN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>
      <x:c r="A2" s="12" t="str">
        <x:v>Cập nhật theo tests/bva/bva-cases.js trên nhánh main. Module mới: Booking.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</x:row>
    <x:row r="4" ht="15" hidden="0" customHeight="1">
      <x:c r="A4" s="21" t="str">
        <x:v>STT</x:v>
      </x:c>
      <x:c r="B4" s="21" t="str">
        <x:v>Mã Test Case</x:v>
      </x:c>
      <x:c r="C4" s="21" t="str">
        <x:v>Module</x:v>
      </x:c>
      <x:c r="D4" s="21" t="str">
        <x:v>Service Method</x:v>
      </x:c>
      <x:c r="E4" s="21" t="str">
        <x:v>Trường kiểm thử</x:v>
      </x:c>
      <x:c r="F4" s="21" t="str">
        <x:v>Endpoint</x:v>
      </x:c>
      <x:c r="G4" s="21" t="str">
        <x:v>Method</x:v>
      </x:c>
      <x:c r="H4" s="21" t="str">
        <x:v>MIN</x:v>
      </x:c>
      <x:c r="I4" s="21" t="str">
        <x:v>MAX</x:v>
      </x:c>
      <x:c r="J4" s="21" t="str">
        <x:v>Vị trí biên</x:v>
      </x:c>
      <x:c r="K4" s="21" t="str">
        <x:v>Input</x:v>
      </x:c>
      <x:c r="L4" s="21" t="str">
        <x:v>Expected</x:v>
      </x:c>
      <x:c r="M4" s="21" t="str">
        <x:v>Trạng thái</x:v>
      </x:c>
    </x:row>
    <x:row r="5" ht="15" hidden="0" customHeight="1">
      <x:c r="A5" s="26" t="n">
        <x:v>1</x:v>
      </x:c>
      <x:c r="B5" s="16" t="str">
        <x:v>TC-SEAT-BVA-01</x:v>
      </x:c>
      <x:c r="C5" s="26" t="str">
        <x:v>Seat</x:v>
      </x:c>
      <x:c r="D5" s="16" t="str"/>
      <x:c r="E5" s="16" t="str">
        <x:v>seat_number</x:v>
      </x:c>
      <x:c r="F5" s="16" t="str">
        <x:v>/seats/validate</x:v>
      </x:c>
      <x:c r="G5" s="26" t="str">
        <x:v>POST</x:v>
      </x:c>
      <x:c r="H5" s="26" t="n">
        <x:v>1</x:v>
      </x:c>
      <x:c r="I5" s="26" t="n">
        <x:v>12</x:v>
      </x:c>
      <x:c r="J5" s="26" t="str">
        <x:v>MIN - 1</x:v>
      </x:c>
      <x:c r="K5" s="16" t="str">
        <x:v>0</x:v>
      </x:c>
      <x:c r="L5" s="26" t="str">
        <x:v>error</x:v>
      </x:c>
      <x:c r="M5" s="26" t="str">
        <x:v>Hoàn chỉnh</x:v>
      </x:c>
    </x:row>
    <x:row r="6" ht="15" hidden="0" customHeight="1">
      <x:c r="A6" s="26" t="n">
        <x:v>2</x:v>
      </x:c>
      <x:c r="B6" s="16" t="str">
        <x:v>TC-SEAT-BVA-02</x:v>
      </x:c>
      <x:c r="C6" s="26" t="str">
        <x:v>Seat</x:v>
      </x:c>
      <x:c r="D6" s="16" t="str"/>
      <x:c r="E6" s="16" t="str">
        <x:v>seat_number</x:v>
      </x:c>
      <x:c r="F6" s="16" t="str">
        <x:v>/seats/validate</x:v>
      </x:c>
      <x:c r="G6" s="26" t="str">
        <x:v>POST</x:v>
      </x:c>
      <x:c r="H6" s="26" t="n">
        <x:v>1</x:v>
      </x:c>
      <x:c r="I6" s="26" t="n">
        <x:v>12</x:v>
      </x:c>
      <x:c r="J6" s="26" t="str">
        <x:v>MIN</x:v>
      </x:c>
      <x:c r="K6" s="16" t="str">
        <x:v>1</x:v>
      </x:c>
      <x:c r="L6" s="26" t="str">
        <x:v>success</x:v>
      </x:c>
      <x:c r="M6" s="26" t="str">
        <x:v>Hoàn chỉnh</x:v>
      </x:c>
    </x:row>
    <x:row r="7" ht="15" hidden="0" customHeight="1">
      <x:c r="A7" s="26" t="n">
        <x:v>3</x:v>
      </x:c>
      <x:c r="B7" s="16" t="str">
        <x:v>TC-SEAT-BVA-03</x:v>
      </x:c>
      <x:c r="C7" s="26" t="str">
        <x:v>Seat</x:v>
      </x:c>
      <x:c r="D7" s="16" t="str"/>
      <x:c r="E7" s="16" t="str">
        <x:v>seat_number</x:v>
      </x:c>
      <x:c r="F7" s="16" t="str">
        <x:v>/seats/validate</x:v>
      </x:c>
      <x:c r="G7" s="26" t="str">
        <x:v>POST</x:v>
      </x:c>
      <x:c r="H7" s="26" t="n">
        <x:v>1</x:v>
      </x:c>
      <x:c r="I7" s="26" t="n">
        <x:v>12</x:v>
      </x:c>
      <x:c r="J7" s="26" t="str">
        <x:v>MIN + 1</x:v>
      </x:c>
      <x:c r="K7" s="16" t="str">
        <x:v>2</x:v>
      </x:c>
      <x:c r="L7" s="26" t="str">
        <x:v>success</x:v>
      </x:c>
      <x:c r="M7" s="26" t="str">
        <x:v>Hoàn chỉnh</x:v>
      </x:c>
    </x:row>
    <x:row r="8" ht="15" hidden="0" customHeight="1">
      <x:c r="A8" s="26" t="n">
        <x:v>4</x:v>
      </x:c>
      <x:c r="B8" s="16" t="str">
        <x:v>TC-SEAT-BVA-04</x:v>
      </x:c>
      <x:c r="C8" s="26" t="str">
        <x:v>Seat</x:v>
      </x:c>
      <x:c r="D8" s="16" t="str"/>
      <x:c r="E8" s="16" t="str">
        <x:v>seat_number</x:v>
      </x:c>
      <x:c r="F8" s="16" t="str">
        <x:v>/seats/validate</x:v>
      </x:c>
      <x:c r="G8" s="26" t="str">
        <x:v>POST</x:v>
      </x:c>
      <x:c r="H8" s="26" t="n">
        <x:v>1</x:v>
      </x:c>
      <x:c r="I8" s="26" t="n">
        <x:v>12</x:v>
      </x:c>
      <x:c r="J8" s="26" t="str">
        <x:v>MAX - 1</x:v>
      </x:c>
      <x:c r="K8" s="16" t="str">
        <x:v>11</x:v>
      </x:c>
      <x:c r="L8" s="26" t="str">
        <x:v>success</x:v>
      </x:c>
      <x:c r="M8" s="26" t="str">
        <x:v>Hoàn chỉnh</x:v>
      </x:c>
    </x:row>
    <x:row r="9" ht="15" hidden="0" customHeight="1">
      <x:c r="A9" s="26" t="n">
        <x:v>5</x:v>
      </x:c>
      <x:c r="B9" s="16" t="str">
        <x:v>TC-SEAT-BVA-05</x:v>
      </x:c>
      <x:c r="C9" s="26" t="str">
        <x:v>Seat</x:v>
      </x:c>
      <x:c r="D9" s="16" t="str"/>
      <x:c r="E9" s="16" t="str">
        <x:v>seat_number</x:v>
      </x:c>
      <x:c r="F9" s="16" t="str">
        <x:v>/seats/validate</x:v>
      </x:c>
      <x:c r="G9" s="26" t="str">
        <x:v>POST</x:v>
      </x:c>
      <x:c r="H9" s="26" t="n">
        <x:v>1</x:v>
      </x:c>
      <x:c r="I9" s="26" t="n">
        <x:v>12</x:v>
      </x:c>
      <x:c r="J9" s="26" t="str">
        <x:v>MAX</x:v>
      </x:c>
      <x:c r="K9" s="16" t="str">
        <x:v>12</x:v>
      </x:c>
      <x:c r="L9" s="26" t="str">
        <x:v>success</x:v>
      </x:c>
      <x:c r="M9" s="26" t="str">
        <x:v>Hoàn chỉnh</x:v>
      </x:c>
    </x:row>
    <x:row r="10" ht="15" hidden="0" customHeight="1">
      <x:c r="A10" s="26" t="n">
        <x:v>6</x:v>
      </x:c>
      <x:c r="B10" s="16" t="str">
        <x:v>TC-SEAT-BVA-06</x:v>
      </x:c>
      <x:c r="C10" s="26" t="str">
        <x:v>Seat</x:v>
      </x:c>
      <x:c r="D10" s="16" t="str"/>
      <x:c r="E10" s="16" t="str">
        <x:v>seat_number</x:v>
      </x:c>
      <x:c r="F10" s="16" t="str">
        <x:v>/seats/validate</x:v>
      </x:c>
      <x:c r="G10" s="26" t="str">
        <x:v>POST</x:v>
      </x:c>
      <x:c r="H10" s="26" t="n">
        <x:v>1</x:v>
      </x:c>
      <x:c r="I10" s="26" t="n">
        <x:v>12</x:v>
      </x:c>
      <x:c r="J10" s="26" t="str">
        <x:v>MAX + 1</x:v>
      </x:c>
      <x:c r="K10" s="16" t="str">
        <x:v>13</x:v>
      </x:c>
      <x:c r="L10" s="26" t="str">
        <x:v>error</x:v>
      </x:c>
      <x:c r="M10" s="26" t="str">
        <x:v>Hoàn chỉnh</x:v>
      </x:c>
    </x:row>
    <x:row r="11" ht="15" hidden="0" customHeight="1">
      <x:c r="A11" s="26" t="n">
        <x:v>7</x:v>
      </x:c>
      <x:c r="B11" s="16" t="str">
        <x:v>TC-ROOM-BVA-01</x:v>
      </x:c>
      <x:c r="C11" s="26" t="str">
        <x:v>Room</x:v>
      </x:c>
      <x:c r="D11" s="16" t="str"/>
      <x:c r="E11" s="16" t="str">
        <x:v>total_seats</x:v>
      </x:c>
      <x:c r="F11" s="16" t="str">
        <x:v>/rooms/validate</x:v>
      </x:c>
      <x:c r="G11" s="26" t="str">
        <x:v>POST</x:v>
      </x:c>
      <x:c r="H11" s="26" t="n">
        <x:v>1</x:v>
      </x:c>
      <x:c r="I11" s="26" t="str"/>
      <x:c r="J11" s="26" t="str">
        <x:v>MIN - 2</x:v>
      </x:c>
      <x:c r="K11" s="16" t="str">
        <x:v>-1</x:v>
      </x:c>
      <x:c r="L11" s="26" t="str">
        <x:v>error</x:v>
      </x:c>
      <x:c r="M11" s="26" t="str">
        <x:v>Hoàn chỉnh</x:v>
      </x:c>
    </x:row>
    <x:row r="12" ht="15" hidden="0" customHeight="1">
      <x:c r="A12" s="26" t="n">
        <x:v>8</x:v>
      </x:c>
      <x:c r="B12" s="16" t="str">
        <x:v>TC-ROOM-BVA-02</x:v>
      </x:c>
      <x:c r="C12" s="26" t="str">
        <x:v>Room</x:v>
      </x:c>
      <x:c r="D12" s="16" t="str"/>
      <x:c r="E12" s="16" t="str">
        <x:v>total_seats</x:v>
      </x:c>
      <x:c r="F12" s="16" t="str">
        <x:v>/rooms/validate</x:v>
      </x:c>
      <x:c r="G12" s="26" t="str">
        <x:v>POST</x:v>
      </x:c>
      <x:c r="H12" s="26" t="n">
        <x:v>1</x:v>
      </x:c>
      <x:c r="I12" s="26" t="str"/>
      <x:c r="J12" s="26" t="str">
        <x:v>MIN - 1</x:v>
      </x:c>
      <x:c r="K12" s="16" t="str">
        <x:v>0</x:v>
      </x:c>
      <x:c r="L12" s="26" t="str">
        <x:v>error</x:v>
      </x:c>
      <x:c r="M12" s="26" t="str">
        <x:v>Hoàn chỉnh</x:v>
      </x:c>
    </x:row>
    <x:row r="13" ht="15" hidden="0" customHeight="1">
      <x:c r="A13" s="26" t="n">
        <x:v>9</x:v>
      </x:c>
      <x:c r="B13" s="16" t="str">
        <x:v>TC-ROOM-BVA-03</x:v>
      </x:c>
      <x:c r="C13" s="26" t="str">
        <x:v>Room</x:v>
      </x:c>
      <x:c r="D13" s="16" t="str"/>
      <x:c r="E13" s="16" t="str">
        <x:v>total_seats</x:v>
      </x:c>
      <x:c r="F13" s="16" t="str">
        <x:v>/rooms/validate</x:v>
      </x:c>
      <x:c r="G13" s="26" t="str">
        <x:v>POST</x:v>
      </x:c>
      <x:c r="H13" s="26" t="n">
        <x:v>1</x:v>
      </x:c>
      <x:c r="I13" s="26" t="str"/>
      <x:c r="J13" s="26" t="str">
        <x:v>MIN</x:v>
      </x:c>
      <x:c r="K13" s="16" t="str">
        <x:v>1</x:v>
      </x:c>
      <x:c r="L13" s="26" t="str">
        <x:v>success</x:v>
      </x:c>
      <x:c r="M13" s="26" t="str">
        <x:v>Hoàn chỉnh</x:v>
      </x:c>
    </x:row>
    <x:row r="14" ht="15" hidden="0" customHeight="1">
      <x:c r="A14" s="26" t="n">
        <x:v>10</x:v>
      </x:c>
      <x:c r="B14" s="16" t="str">
        <x:v>TC-ROOM-BVA-04</x:v>
      </x:c>
      <x:c r="C14" s="26" t="str">
        <x:v>Room</x:v>
      </x:c>
      <x:c r="D14" s="16" t="str"/>
      <x:c r="E14" s="16" t="str">
        <x:v>total_seats</x:v>
      </x:c>
      <x:c r="F14" s="16" t="str">
        <x:v>/rooms/validate</x:v>
      </x:c>
      <x:c r="G14" s="26" t="str">
        <x:v>POST</x:v>
      </x:c>
      <x:c r="H14" s="26" t="n">
        <x:v>1</x:v>
      </x:c>
      <x:c r="I14" s="26" t="str"/>
      <x:c r="J14" s="26" t="str">
        <x:v>MIN + 1</x:v>
      </x:c>
      <x:c r="K14" s="16" t="str">
        <x:v>2</x:v>
      </x:c>
      <x:c r="L14" s="26" t="str">
        <x:v>success</x:v>
      </x:c>
      <x:c r="M14" s="26" t="str">
        <x:v>Hoàn chỉnh</x:v>
      </x:c>
    </x:row>
    <x:row r="15" ht="15" hidden="0" customHeight="1">
      <x:c r="A15" s="26" t="n">
        <x:v>11</x:v>
      </x:c>
      <x:c r="B15" s="16" t="str">
        <x:v>TC-THEATRE-BVA-01</x:v>
      </x:c>
      <x:c r="C15" s="26" t="str">
        <x:v>Theatre</x:v>
      </x:c>
      <x:c r="D15" s="16" t="str"/>
      <x:c r="E15" s="16" t="str">
        <x:v>total_screens</x:v>
      </x:c>
      <x:c r="F15" s="16" t="str">
        <x:v>/theatres/validate</x:v>
      </x:c>
      <x:c r="G15" s="26" t="str">
        <x:v>POST</x:v>
      </x:c>
      <x:c r="H15" s="26" t="n">
        <x:v>1</x:v>
      </x:c>
      <x:c r="I15" s="26" t="str"/>
      <x:c r="J15" s="26" t="str">
        <x:v>MIN - 2</x:v>
      </x:c>
      <x:c r="K15" s="16" t="str">
        <x:v>-1</x:v>
      </x:c>
      <x:c r="L15" s="26" t="str">
        <x:v>error</x:v>
      </x:c>
      <x:c r="M15" s="26" t="str">
        <x:v>Hoàn chỉnh</x:v>
      </x:c>
    </x:row>
    <x:row r="16" ht="15" hidden="0" customHeight="1">
      <x:c r="A16" s="26" t="n">
        <x:v>12</x:v>
      </x:c>
      <x:c r="B16" s="16" t="str">
        <x:v>TC-THEATRE-BVA-02</x:v>
      </x:c>
      <x:c r="C16" s="26" t="str">
        <x:v>Theatre</x:v>
      </x:c>
      <x:c r="D16" s="16" t="str"/>
      <x:c r="E16" s="16" t="str">
        <x:v>total_screens</x:v>
      </x:c>
      <x:c r="F16" s="16" t="str">
        <x:v>/theatres/validate</x:v>
      </x:c>
      <x:c r="G16" s="26" t="str">
        <x:v>POST</x:v>
      </x:c>
      <x:c r="H16" s="26" t="n">
        <x:v>1</x:v>
      </x:c>
      <x:c r="I16" s="26" t="str"/>
      <x:c r="J16" s="26" t="str">
        <x:v>MIN - 1</x:v>
      </x:c>
      <x:c r="K16" s="16" t="str">
        <x:v>0</x:v>
      </x:c>
      <x:c r="L16" s="26" t="str">
        <x:v>error</x:v>
      </x:c>
      <x:c r="M16" s="26" t="str">
        <x:v>Hoàn chỉnh</x:v>
      </x:c>
    </x:row>
    <x:row r="17" ht="15" hidden="0" customHeight="1">
      <x:c r="A17" s="26" t="n">
        <x:v>13</x:v>
      </x:c>
      <x:c r="B17" s="16" t="str">
        <x:v>TC-THEATRE-BVA-03</x:v>
      </x:c>
      <x:c r="C17" s="26" t="str">
        <x:v>Theatre</x:v>
      </x:c>
      <x:c r="D17" s="16" t="str"/>
      <x:c r="E17" s="16" t="str">
        <x:v>total_screens</x:v>
      </x:c>
      <x:c r="F17" s="16" t="str">
        <x:v>/theatres/validate</x:v>
      </x:c>
      <x:c r="G17" s="26" t="str">
        <x:v>POST</x:v>
      </x:c>
      <x:c r="H17" s="26" t="n">
        <x:v>1</x:v>
      </x:c>
      <x:c r="I17" s="26" t="str"/>
      <x:c r="J17" s="26" t="str">
        <x:v>MIN</x:v>
      </x:c>
      <x:c r="K17" s="16" t="str">
        <x:v>1</x:v>
      </x:c>
      <x:c r="L17" s="26" t="str">
        <x:v>success</x:v>
      </x:c>
      <x:c r="M17" s="26" t="str">
        <x:v>Hoàn chỉnh</x:v>
      </x:c>
    </x:row>
    <x:row r="18" ht="15" hidden="0" customHeight="1">
      <x:c r="A18" s="26" t="n">
        <x:v>14</x:v>
      </x:c>
      <x:c r="B18" s="16" t="str">
        <x:v>TC-THEATRE-BVA-04</x:v>
      </x:c>
      <x:c r="C18" s="26" t="str">
        <x:v>Theatre</x:v>
      </x:c>
      <x:c r="D18" s="16" t="str"/>
      <x:c r="E18" s="16" t="str">
        <x:v>total_screens</x:v>
      </x:c>
      <x:c r="F18" s="16" t="str">
        <x:v>/theatres/validate</x:v>
      </x:c>
      <x:c r="G18" s="26" t="str">
        <x:v>POST</x:v>
      </x:c>
      <x:c r="H18" s="26" t="n">
        <x:v>1</x:v>
      </x:c>
      <x:c r="I18" s="26" t="str"/>
      <x:c r="J18" s="26" t="str">
        <x:v>MIN + 1</x:v>
      </x:c>
      <x:c r="K18" s="16" t="str">
        <x:v>2</x:v>
      </x:c>
      <x:c r="L18" s="26" t="str">
        <x:v>success</x:v>
      </x:c>
      <x:c r="M18" s="26" t="str">
        <x:v>Hoàn chỉnh</x:v>
      </x:c>
    </x:row>
    <x:row r="19" ht="15" hidden="0" customHeight="1">
      <x:c r="A19" s="26" t="n">
        <x:v>15</x:v>
      </x:c>
      <x:c r="B19" s="16" t="str">
        <x:v>TC-REVIEW-BVA-01</x:v>
      </x:c>
      <x:c r="C19" s="26" t="str">
        <x:v>Review</x:v>
      </x:c>
      <x:c r="D19" s="16" t="str"/>
      <x:c r="E19" s="16" t="str">
        <x:v>rating</x:v>
      </x:c>
      <x:c r="F19" s="16" t="str">
        <x:v>/reviews/validate</x:v>
      </x:c>
      <x:c r="G19" s="26" t="str">
        <x:v>POST</x:v>
      </x:c>
      <x:c r="H19" s="26" t="n">
        <x:v>1</x:v>
      </x:c>
      <x:c r="I19" s="26" t="n">
        <x:v>5</x:v>
      </x:c>
      <x:c r="J19" s="26" t="str">
        <x:v>MIN - 1</x:v>
      </x:c>
      <x:c r="K19" s="16" t="str">
        <x:v>0</x:v>
      </x:c>
      <x:c r="L19" s="26" t="str">
        <x:v>error</x:v>
      </x:c>
      <x:c r="M19" s="26" t="str">
        <x:v>Hoàn chỉnh</x:v>
      </x:c>
    </x:row>
    <x:row r="20" ht="15" hidden="0" customHeight="1">
      <x:c r="A20" s="26" t="n">
        <x:v>16</x:v>
      </x:c>
      <x:c r="B20" s="16" t="str">
        <x:v>TC-REVIEW-BVA-02</x:v>
      </x:c>
      <x:c r="C20" s="26" t="str">
        <x:v>Review</x:v>
      </x:c>
      <x:c r="D20" s="16" t="str"/>
      <x:c r="E20" s="16" t="str">
        <x:v>rating</x:v>
      </x:c>
      <x:c r="F20" s="16" t="str">
        <x:v>/reviews/validate</x:v>
      </x:c>
      <x:c r="G20" s="26" t="str">
        <x:v>POST</x:v>
      </x:c>
      <x:c r="H20" s="26" t="n">
        <x:v>1</x:v>
      </x:c>
      <x:c r="I20" s="26" t="n">
        <x:v>5</x:v>
      </x:c>
      <x:c r="J20" s="26" t="str">
        <x:v>MIN</x:v>
      </x:c>
      <x:c r="K20" s="16" t="str">
        <x:v>1</x:v>
      </x:c>
      <x:c r="L20" s="26" t="str">
        <x:v>success</x:v>
      </x:c>
      <x:c r="M20" s="26" t="str">
        <x:v>Hoàn chỉnh</x:v>
      </x:c>
    </x:row>
    <x:row r="21" ht="15" hidden="0" customHeight="1">
      <x:c r="A21" s="26" t="n">
        <x:v>17</x:v>
      </x:c>
      <x:c r="B21" s="16" t="str">
        <x:v>TC-REVIEW-BVA-03</x:v>
      </x:c>
      <x:c r="C21" s="26" t="str">
        <x:v>Review</x:v>
      </x:c>
      <x:c r="D21" s="16" t="str"/>
      <x:c r="E21" s="16" t="str">
        <x:v>rating</x:v>
      </x:c>
      <x:c r="F21" s="16" t="str">
        <x:v>/reviews/validate</x:v>
      </x:c>
      <x:c r="G21" s="26" t="str">
        <x:v>POST</x:v>
      </x:c>
      <x:c r="H21" s="26" t="n">
        <x:v>1</x:v>
      </x:c>
      <x:c r="I21" s="26" t="n">
        <x:v>5</x:v>
      </x:c>
      <x:c r="J21" s="26" t="str">
        <x:v>MIN + 1</x:v>
      </x:c>
      <x:c r="K21" s="16" t="str">
        <x:v>2</x:v>
      </x:c>
      <x:c r="L21" s="26" t="str">
        <x:v>success</x:v>
      </x:c>
      <x:c r="M21" s="26" t="str">
        <x:v>Hoàn chỉnh</x:v>
      </x:c>
    </x:row>
    <x:row r="22" ht="15" hidden="0" customHeight="1">
      <x:c r="A22" s="26" t="n">
        <x:v>18</x:v>
      </x:c>
      <x:c r="B22" s="16" t="str">
        <x:v>TC-REVIEW-BVA-04</x:v>
      </x:c>
      <x:c r="C22" s="26" t="str">
        <x:v>Review</x:v>
      </x:c>
      <x:c r="D22" s="16" t="str"/>
      <x:c r="E22" s="16" t="str">
        <x:v>rating</x:v>
      </x:c>
      <x:c r="F22" s="16" t="str">
        <x:v>/reviews/validate</x:v>
      </x:c>
      <x:c r="G22" s="26" t="str">
        <x:v>POST</x:v>
      </x:c>
      <x:c r="H22" s="26" t="n">
        <x:v>1</x:v>
      </x:c>
      <x:c r="I22" s="26" t="n">
        <x:v>5</x:v>
      </x:c>
      <x:c r="J22" s="26" t="str">
        <x:v>MAX - 1</x:v>
      </x:c>
      <x:c r="K22" s="16" t="str">
        <x:v>4</x:v>
      </x:c>
      <x:c r="L22" s="26" t="str">
        <x:v>success</x:v>
      </x:c>
      <x:c r="M22" s="26" t="str">
        <x:v>Hoàn chỉnh</x:v>
      </x:c>
    </x:row>
    <x:row r="23" ht="15" hidden="0" customHeight="1">
      <x:c r="A23" s="26" t="n">
        <x:v>19</x:v>
      </x:c>
      <x:c r="B23" s="16" t="str">
        <x:v>TC-REVIEW-BVA-05</x:v>
      </x:c>
      <x:c r="C23" s="26" t="str">
        <x:v>Review</x:v>
      </x:c>
      <x:c r="D23" s="16" t="str"/>
      <x:c r="E23" s="16" t="str">
        <x:v>rating</x:v>
      </x:c>
      <x:c r="F23" s="16" t="str">
        <x:v>/reviews/validate</x:v>
      </x:c>
      <x:c r="G23" s="26" t="str">
        <x:v>POST</x:v>
      </x:c>
      <x:c r="H23" s="26" t="n">
        <x:v>1</x:v>
      </x:c>
      <x:c r="I23" s="26" t="n">
        <x:v>5</x:v>
      </x:c>
      <x:c r="J23" s="26" t="str">
        <x:v>MAX</x:v>
      </x:c>
      <x:c r="K23" s="16" t="str">
        <x:v>5</x:v>
      </x:c>
      <x:c r="L23" s="26" t="str">
        <x:v>success</x:v>
      </x:c>
      <x:c r="M23" s="26" t="str">
        <x:v>Hoàn chỉnh</x:v>
      </x:c>
    </x:row>
    <x:row r="24" ht="15" hidden="0" customHeight="1">
      <x:c r="A24" s="26" t="n">
        <x:v>20</x:v>
      </x:c>
      <x:c r="B24" s="16" t="str">
        <x:v>TC-REVIEW-BVA-06</x:v>
      </x:c>
      <x:c r="C24" s="26" t="str">
        <x:v>Review</x:v>
      </x:c>
      <x:c r="D24" s="16" t="str"/>
      <x:c r="E24" s="16" t="str">
        <x:v>rating</x:v>
      </x:c>
      <x:c r="F24" s="16" t="str">
        <x:v>/reviews/validate</x:v>
      </x:c>
      <x:c r="G24" s="26" t="str">
        <x:v>POST</x:v>
      </x:c>
      <x:c r="H24" s="26" t="n">
        <x:v>1</x:v>
      </x:c>
      <x:c r="I24" s="26" t="n">
        <x:v>5</x:v>
      </x:c>
      <x:c r="J24" s="26" t="str">
        <x:v>MAX + 1</x:v>
      </x:c>
      <x:c r="K24" s="16" t="str">
        <x:v>6</x:v>
      </x:c>
      <x:c r="L24" s="26" t="str">
        <x:v>error</x:v>
      </x:c>
      <x:c r="M24" s="26" t="str">
        <x:v>Hoàn chỉnh</x:v>
      </x:c>
    </x:row>
    <x:row r="25" ht="15" hidden="0" customHeight="1">
      <x:c r="A25" s="26" t="n">
        <x:v>21</x:v>
      </x:c>
      <x:c r="B25" s="16" t="str">
        <x:v>TC-AUTH-BVA-01</x:v>
      </x:c>
      <x:c r="C25" s="26" t="str">
        <x:v>Authentication</x:v>
      </x:c>
      <x:c r="D25" s="16" t="str"/>
      <x:c r="E25" s="16" t="str">
        <x:v>password</x:v>
      </x:c>
      <x:c r="F25" s="16" t="str">
        <x:v>/register</x:v>
      </x:c>
      <x:c r="G25" s="26" t="str">
        <x:v>POST</x:v>
      </x:c>
      <x:c r="H25" s="26" t="n">
        <x:v>6</x:v>
      </x:c>
      <x:c r="I25" s="26" t="str"/>
      <x:c r="J25" s="26" t="str">
        <x:v>MIN - 1</x:v>
      </x:c>
      <x:c r="K25" s="16" t="str">
        <x:v>12345</x:v>
      </x:c>
      <x:c r="L25" s="26" t="str">
        <x:v>error</x:v>
      </x:c>
      <x:c r="M25" s="26" t="str">
        <x:v>Hoàn chỉnh</x:v>
      </x:c>
    </x:row>
    <x:row r="26" ht="15" hidden="0" customHeight="1">
      <x:c r="A26" s="26" t="n">
        <x:v>22</x:v>
      </x:c>
      <x:c r="B26" s="16" t="str">
        <x:v>TC-AUTH-BVA-02</x:v>
      </x:c>
      <x:c r="C26" s="26" t="str">
        <x:v>Authentication</x:v>
      </x:c>
      <x:c r="D26" s="16" t="str"/>
      <x:c r="E26" s="16" t="str">
        <x:v>password</x:v>
      </x:c>
      <x:c r="F26" s="16" t="str">
        <x:v>/register</x:v>
      </x:c>
      <x:c r="G26" s="26" t="str">
        <x:v>POST</x:v>
      </x:c>
      <x:c r="H26" s="26" t="n">
        <x:v>6</x:v>
      </x:c>
      <x:c r="I26" s="26" t="str"/>
      <x:c r="J26" s="26" t="str">
        <x:v>MIN</x:v>
      </x:c>
      <x:c r="K26" s="16" t="str">
        <x:v>123456</x:v>
      </x:c>
      <x:c r="L26" s="26" t="str">
        <x:v>success</x:v>
      </x:c>
      <x:c r="M26" s="26" t="str">
        <x:v>Hoàn chỉnh</x:v>
      </x:c>
    </x:row>
    <x:row r="27" ht="15" hidden="0" customHeight="1">
      <x:c r="A27" s="26" t="n">
        <x:v>23</x:v>
      </x:c>
      <x:c r="B27" s="16" t="str">
        <x:v>TC-AUTH-BVA-03</x:v>
      </x:c>
      <x:c r="C27" s="26" t="str">
        <x:v>Authentication</x:v>
      </x:c>
      <x:c r="D27" s="16" t="str"/>
      <x:c r="E27" s="16" t="str">
        <x:v>password</x:v>
      </x:c>
      <x:c r="F27" s="16" t="str">
        <x:v>/register</x:v>
      </x:c>
      <x:c r="G27" s="26" t="str">
        <x:v>POST</x:v>
      </x:c>
      <x:c r="H27" s="26" t="n">
        <x:v>6</x:v>
      </x:c>
      <x:c r="I27" s="26" t="str"/>
      <x:c r="J27" s="26" t="str">
        <x:v>MIN + 1</x:v>
      </x:c>
      <x:c r="K27" s="16" t="str">
        <x:v>1234567</x:v>
      </x:c>
      <x:c r="L27" s="26" t="str">
        <x:v>success</x:v>
      </x:c>
      <x:c r="M27" s="26" t="str">
        <x:v>Hoàn chỉnh</x:v>
      </x:c>
    </x:row>
    <x:row r="28" ht="15" hidden="0" customHeight="1">
      <x:c r="A28" s="26" t="n">
        <x:v>24</x:v>
      </x:c>
      <x:c r="B28" s="16" t="str">
        <x:v>TC-BOOKING-BVA-01</x:v>
      </x:c>
      <x:c r="C28" s="26" t="str">
        <x:v>Booking</x:v>
      </x:c>
      <x:c r="D28" s="16" t="str">
        <x:v>processBooking</x:v>
      </x:c>
      <x:c r="E28" s="16" t="str">
        <x:v>userId</x:v>
      </x:c>
      <x:c r="F28" s="16" t="str">
        <x:v>/bookings/validate</x:v>
      </x:c>
      <x:c r="G28" s="26" t="str">
        <x:v>POST</x:v>
      </x:c>
      <x:c r="H28" s="26" t="n">
        <x:v>1</x:v>
      </x:c>
      <x:c r="I28" s="26" t="str"/>
      <x:c r="J28" s="26" t="str">
        <x:v>MIN - 2</x:v>
      </x:c>
      <x:c r="K28" s="16" t="str">
        <x:v>-1</x:v>
      </x:c>
      <x:c r="L28" s="26" t="str">
        <x:v>error</x:v>
      </x:c>
      <x:c r="M28" s="26" t="str">
        <x:v>Hoàn chỉnh</x:v>
      </x:c>
    </x:row>
    <x:row r="29" ht="15" hidden="0" customHeight="1">
      <x:c r="A29" s="26" t="n">
        <x:v>25</x:v>
      </x:c>
      <x:c r="B29" s="16" t="str">
        <x:v>TC-BOOKING-BVA-02</x:v>
      </x:c>
      <x:c r="C29" s="26" t="str">
        <x:v>Booking</x:v>
      </x:c>
      <x:c r="D29" s="16" t="str">
        <x:v>processBooking</x:v>
      </x:c>
      <x:c r="E29" s="16" t="str">
        <x:v>userId</x:v>
      </x:c>
      <x:c r="F29" s="16" t="str">
        <x:v>/bookings/validate</x:v>
      </x:c>
      <x:c r="G29" s="26" t="str">
        <x:v>POST</x:v>
      </x:c>
      <x:c r="H29" s="26" t="n">
        <x:v>1</x:v>
      </x:c>
      <x:c r="I29" s="26" t="str"/>
      <x:c r="J29" s="26" t="str">
        <x:v>MIN - 1</x:v>
      </x:c>
      <x:c r="K29" s="16" t="str">
        <x:v>0</x:v>
      </x:c>
      <x:c r="L29" s="26" t="str">
        <x:v>error</x:v>
      </x:c>
      <x:c r="M29" s="26" t="str">
        <x:v>Hoàn chỉnh</x:v>
      </x:c>
    </x:row>
    <x:row r="30" ht="15" hidden="0" customHeight="1">
      <x:c r="A30" s="26" t="n">
        <x:v>26</x:v>
      </x:c>
      <x:c r="B30" s="16" t="str">
        <x:v>TC-BOOKING-BVA-03</x:v>
      </x:c>
      <x:c r="C30" s="26" t="str">
        <x:v>Booking</x:v>
      </x:c>
      <x:c r="D30" s="16" t="str">
        <x:v>processBooking</x:v>
      </x:c>
      <x:c r="E30" s="16" t="str">
        <x:v>userId</x:v>
      </x:c>
      <x:c r="F30" s="16" t="str">
        <x:v>/bookings/validate</x:v>
      </x:c>
      <x:c r="G30" s="26" t="str">
        <x:v>POST</x:v>
      </x:c>
      <x:c r="H30" s="26" t="n">
        <x:v>1</x:v>
      </x:c>
      <x:c r="I30" s="26" t="str"/>
      <x:c r="J30" s="26" t="str">
        <x:v>MIN</x:v>
      </x:c>
      <x:c r="K30" s="16" t="str">
        <x:v>1</x:v>
      </x:c>
      <x:c r="L30" s="26" t="str">
        <x:v>success</x:v>
      </x:c>
      <x:c r="M30" s="26" t="str">
        <x:v>Hoàn chỉnh</x:v>
      </x:c>
    </x:row>
    <x:row r="31" ht="15" hidden="0" customHeight="1">
      <x:c r="A31" s="26" t="n">
        <x:v>27</x:v>
      </x:c>
      <x:c r="B31" s="16" t="str">
        <x:v>TC-BOOKING-BVA-04</x:v>
      </x:c>
      <x:c r="C31" s="26" t="str">
        <x:v>Booking</x:v>
      </x:c>
      <x:c r="D31" s="16" t="str">
        <x:v>processBooking</x:v>
      </x:c>
      <x:c r="E31" s="16" t="str">
        <x:v>userId</x:v>
      </x:c>
      <x:c r="F31" s="16" t="str">
        <x:v>/bookings/validate</x:v>
      </x:c>
      <x:c r="G31" s="26" t="str">
        <x:v>POST</x:v>
      </x:c>
      <x:c r="H31" s="26" t="n">
        <x:v>1</x:v>
      </x:c>
      <x:c r="I31" s="26" t="str"/>
      <x:c r="J31" s="26" t="str">
        <x:v>MIN + 1</x:v>
      </x:c>
      <x:c r="K31" s="16" t="str">
        <x:v>2</x:v>
      </x:c>
      <x:c r="L31" s="26" t="str">
        <x:v>success</x:v>
      </x:c>
      <x:c r="M31" s="26" t="str">
        <x:v>Hoàn chỉnh</x:v>
      </x:c>
    </x:row>
    <x:row r="32" ht="15" hidden="0" customHeight="1">
      <x:c r="A32" s="26" t="n">
        <x:v>28</x:v>
      </x:c>
      <x:c r="B32" s="16" t="str">
        <x:v>TC-BOOKING-BVA-05</x:v>
      </x:c>
      <x:c r="C32" s="26" t="str">
        <x:v>Booking</x:v>
      </x:c>
      <x:c r="D32" s="16" t="str">
        <x:v>processBooking</x:v>
      </x:c>
      <x:c r="E32" s="16" t="str">
        <x:v>showtimeId</x:v>
      </x:c>
      <x:c r="F32" s="16" t="str">
        <x:v>/bookings/validate</x:v>
      </x:c>
      <x:c r="G32" s="26" t="str">
        <x:v>POST</x:v>
      </x:c>
      <x:c r="H32" s="26" t="n">
        <x:v>1</x:v>
      </x:c>
      <x:c r="I32" s="26" t="str"/>
      <x:c r="J32" s="26" t="str">
        <x:v>MIN - 2</x:v>
      </x:c>
      <x:c r="K32" s="16" t="str">
        <x:v>-1</x:v>
      </x:c>
      <x:c r="L32" s="26" t="str">
        <x:v>error</x:v>
      </x:c>
      <x:c r="M32" s="26" t="str">
        <x:v>Hoàn chỉnh</x:v>
      </x:c>
    </x:row>
    <x:row r="33" ht="15" hidden="0" customHeight="1">
      <x:c r="A33" s="26" t="n">
        <x:v>29</x:v>
      </x:c>
      <x:c r="B33" s="16" t="str">
        <x:v>TC-BOOKING-BVA-06</x:v>
      </x:c>
      <x:c r="C33" s="26" t="str">
        <x:v>Booking</x:v>
      </x:c>
      <x:c r="D33" s="16" t="str">
        <x:v>processBooking</x:v>
      </x:c>
      <x:c r="E33" s="16" t="str">
        <x:v>showtimeId</x:v>
      </x:c>
      <x:c r="F33" s="16" t="str">
        <x:v>/bookings/validate</x:v>
      </x:c>
      <x:c r="G33" s="26" t="str">
        <x:v>POST</x:v>
      </x:c>
      <x:c r="H33" s="26" t="n">
        <x:v>1</x:v>
      </x:c>
      <x:c r="I33" s="26" t="str"/>
      <x:c r="J33" s="26" t="str">
        <x:v>MIN - 1</x:v>
      </x:c>
      <x:c r="K33" s="16" t="str">
        <x:v>0</x:v>
      </x:c>
      <x:c r="L33" s="26" t="str">
        <x:v>error</x:v>
      </x:c>
      <x:c r="M33" s="26" t="str">
        <x:v>Hoàn chỉnh</x:v>
      </x:c>
    </x:row>
    <x:row r="34" ht="15" hidden="0" customHeight="1">
      <x:c r="A34" s="26" t="n">
        <x:v>30</x:v>
      </x:c>
      <x:c r="B34" s="16" t="str">
        <x:v>TC-BOOKING-BVA-07</x:v>
      </x:c>
      <x:c r="C34" s="26" t="str">
        <x:v>Booking</x:v>
      </x:c>
      <x:c r="D34" s="16" t="str">
        <x:v>processBooking</x:v>
      </x:c>
      <x:c r="E34" s="16" t="str">
        <x:v>showtimeId</x:v>
      </x:c>
      <x:c r="F34" s="16" t="str">
        <x:v>/bookings/validate</x:v>
      </x:c>
      <x:c r="G34" s="26" t="str">
        <x:v>POST</x:v>
      </x:c>
      <x:c r="H34" s="26" t="n">
        <x:v>1</x:v>
      </x:c>
      <x:c r="I34" s="26" t="str"/>
      <x:c r="J34" s="26" t="str">
        <x:v>MIN</x:v>
      </x:c>
      <x:c r="K34" s="16" t="str">
        <x:v>1</x:v>
      </x:c>
      <x:c r="L34" s="26" t="str">
        <x:v>success</x:v>
      </x:c>
      <x:c r="M34" s="26" t="str">
        <x:v>Hoàn chỉnh</x:v>
      </x:c>
    </x:row>
    <x:row r="35" ht="15" hidden="0" customHeight="1">
      <x:c r="A35" s="26" t="n">
        <x:v>31</x:v>
      </x:c>
      <x:c r="B35" s="16" t="str">
        <x:v>TC-BOOKING-BVA-08</x:v>
      </x:c>
      <x:c r="C35" s="26" t="str">
        <x:v>Booking</x:v>
      </x:c>
      <x:c r="D35" s="16" t="str">
        <x:v>processBooking</x:v>
      </x:c>
      <x:c r="E35" s="16" t="str">
        <x:v>showtimeId</x:v>
      </x:c>
      <x:c r="F35" s="16" t="str">
        <x:v>/bookings/validate</x:v>
      </x:c>
      <x:c r="G35" s="26" t="str">
        <x:v>POST</x:v>
      </x:c>
      <x:c r="H35" s="26" t="n">
        <x:v>1</x:v>
      </x:c>
      <x:c r="I35" s="26" t="str"/>
      <x:c r="J35" s="26" t="str">
        <x:v>MIN + 1</x:v>
      </x:c>
      <x:c r="K35" s="16" t="str">
        <x:v>2</x:v>
      </x:c>
      <x:c r="L35" s="26" t="str">
        <x:v>success</x:v>
      </x:c>
      <x:c r="M35" s="26" t="str">
        <x:v>Hoàn chỉnh</x:v>
      </x:c>
    </x:row>
    <x:row r="36" ht="15" hidden="0" customHeight="1">
      <x:c r="A36" s="26" t="n">
        <x:v>32</x:v>
      </x:c>
      <x:c r="B36" s="16" t="str">
        <x:v>TC-BOOKING-BVA-09</x:v>
      </x:c>
      <x:c r="C36" s="26" t="str">
        <x:v>Booking</x:v>
      </x:c>
      <x:c r="D36" s="16" t="str">
        <x:v>processBooking</x:v>
      </x:c>
      <x:c r="E36" s="16" t="str">
        <x:v>seatIds</x:v>
      </x:c>
      <x:c r="F36" s="16" t="str">
        <x:v>/bookings/validate</x:v>
      </x:c>
      <x:c r="G36" s="26" t="str">
        <x:v>POST</x:v>
      </x:c>
      <x:c r="H36" s="26" t="str"/>
      <x:c r="I36" s="26" t="str"/>
      <x:c r="J36" s="26" t="str">
        <x:v>MIN - 1</x:v>
      </x:c>
      <x:c r="K36" s="16" t="str">
        <x:v>[]</x:v>
      </x:c>
      <x:c r="L36" s="26" t="str">
        <x:v>error</x:v>
      </x:c>
      <x:c r="M36" s="26" t="str">
        <x:v>Hoàn chỉnh</x:v>
      </x:c>
    </x:row>
    <x:row r="37" ht="15" hidden="0" customHeight="1">
      <x:c r="A37" s="26" t="n">
        <x:v>33</x:v>
      </x:c>
      <x:c r="B37" s="16" t="str">
        <x:v>TC-BOOKING-BVA-10</x:v>
      </x:c>
      <x:c r="C37" s="26" t="str">
        <x:v>Booking</x:v>
      </x:c>
      <x:c r="D37" s="16" t="str">
        <x:v>processBooking</x:v>
      </x:c>
      <x:c r="E37" s="16" t="str">
        <x:v>seatIds</x:v>
      </x:c>
      <x:c r="F37" s="16" t="str">
        <x:v>/bookings/validate</x:v>
      </x:c>
      <x:c r="G37" s="26" t="str">
        <x:v>POST</x:v>
      </x:c>
      <x:c r="H37" s="26" t="str"/>
      <x:c r="I37" s="26" t="str"/>
      <x:c r="J37" s="26" t="str">
        <x:v>MIN</x:v>
      </x:c>
      <x:c r="K37" s="16" t="str">
        <x:v>[1]</x:v>
      </x:c>
      <x:c r="L37" s="26" t="str">
        <x:v>success</x:v>
      </x:c>
      <x:c r="M37" s="26" t="str">
        <x:v>Hoàn chỉnh</x:v>
      </x:c>
    </x:row>
    <x:row r="38" ht="15" hidden="0" customHeight="1">
      <x:c r="A38" s="26" t="n">
        <x:v>34</x:v>
      </x:c>
      <x:c r="B38" s="16" t="str">
        <x:v>TC-BOOKING-BVA-11</x:v>
      </x:c>
      <x:c r="C38" s="26" t="str">
        <x:v>Booking</x:v>
      </x:c>
      <x:c r="D38" s="16" t="str">
        <x:v>processBooking</x:v>
      </x:c>
      <x:c r="E38" s="16" t="str">
        <x:v>seatIds</x:v>
      </x:c>
      <x:c r="F38" s="16" t="str">
        <x:v>/bookings/validate</x:v>
      </x:c>
      <x:c r="G38" s="26" t="str">
        <x:v>POST</x:v>
      </x:c>
      <x:c r="H38" s="26" t="str"/>
      <x:c r="I38" s="26" t="str"/>
      <x:c r="J38" s="26" t="str">
        <x:v>MIN + 1</x:v>
      </x:c>
      <x:c r="K38" s="16" t="str">
        <x:v>[1, 2]</x:v>
      </x:c>
      <x:c r="L38" s="26" t="str">
        <x:v>success</x:v>
      </x:c>
      <x:c r="M38" s="26" t="str">
        <x:v>Hoàn chỉnh</x:v>
      </x:c>
    </x:row>
    <x:row r="39" ht="15" hidden="0" customHeight="1">
      <x:c r="A39" s="26" t="n">
        <x:v>35</x:v>
      </x:c>
      <x:c r="B39" s="16" t="str">
        <x:v>TC-BOOKING-BVA-12</x:v>
      </x:c>
      <x:c r="C39" s="26" t="str">
        <x:v>Booking</x:v>
      </x:c>
      <x:c r="D39" s="16" t="str">
        <x:v>getUserBookings</x:v>
      </x:c>
      <x:c r="E39" s="16" t="str">
        <x:v>userId</x:v>
      </x:c>
      <x:c r="F39" s="16" t="str">
        <x:v>/bookings/validate-user</x:v>
      </x:c>
      <x:c r="G39" s="26" t="str">
        <x:v>GET</x:v>
      </x:c>
      <x:c r="H39" s="26" t="n">
        <x:v>1</x:v>
      </x:c>
      <x:c r="I39" s="26" t="str"/>
      <x:c r="J39" s="26" t="str">
        <x:v>MIN - 2</x:v>
      </x:c>
      <x:c r="K39" s="16" t="str">
        <x:v>-1</x:v>
      </x:c>
      <x:c r="L39" s="26" t="str">
        <x:v>success</x:v>
      </x:c>
      <x:c r="M39" s="26" t="str">
        <x:v>Hoàn chỉnh</x:v>
      </x:c>
    </x:row>
    <x:row r="40" ht="15" hidden="0" customHeight="1">
      <x:c r="A40" s="26" t="n">
        <x:v>36</x:v>
      </x:c>
      <x:c r="B40" s="16" t="str">
        <x:v>TC-BOOKING-BVA-13</x:v>
      </x:c>
      <x:c r="C40" s="26" t="str">
        <x:v>Booking</x:v>
      </x:c>
      <x:c r="D40" s="16" t="str">
        <x:v>getUserBookings</x:v>
      </x:c>
      <x:c r="E40" s="16" t="str">
        <x:v>userId</x:v>
      </x:c>
      <x:c r="F40" s="16" t="str">
        <x:v>/bookings/validate-user</x:v>
      </x:c>
      <x:c r="G40" s="26" t="str">
        <x:v>GET</x:v>
      </x:c>
      <x:c r="H40" s="26" t="n">
        <x:v>1</x:v>
      </x:c>
      <x:c r="I40" s="26" t="str"/>
      <x:c r="J40" s="26" t="str">
        <x:v>MIN - 1</x:v>
      </x:c>
      <x:c r="K40" s="16" t="str">
        <x:v>0</x:v>
      </x:c>
      <x:c r="L40" s="26" t="str">
        <x:v>success</x:v>
      </x:c>
      <x:c r="M40" s="26" t="str">
        <x:v>Hoàn chỉnh</x:v>
      </x:c>
    </x:row>
    <x:row r="41" ht="15" hidden="0" customHeight="1">
      <x:c r="A41" s="26" t="n">
        <x:v>37</x:v>
      </x:c>
      <x:c r="B41" s="16" t="str">
        <x:v>TC-BOOKING-BVA-14</x:v>
      </x:c>
      <x:c r="C41" s="26" t="str">
        <x:v>Booking</x:v>
      </x:c>
      <x:c r="D41" s="16" t="str">
        <x:v>getUserBookings</x:v>
      </x:c>
      <x:c r="E41" s="16" t="str">
        <x:v>userId</x:v>
      </x:c>
      <x:c r="F41" s="16" t="str">
        <x:v>/bookings/validate-user</x:v>
      </x:c>
      <x:c r="G41" s="26" t="str">
        <x:v>GET</x:v>
      </x:c>
      <x:c r="H41" s="26" t="n">
        <x:v>1</x:v>
      </x:c>
      <x:c r="I41" s="26" t="str"/>
      <x:c r="J41" s="26" t="str">
        <x:v>MIN</x:v>
      </x:c>
      <x:c r="K41" s="16" t="str">
        <x:v>1</x:v>
      </x:c>
      <x:c r="L41" s="26" t="str">
        <x:v>success</x:v>
      </x:c>
      <x:c r="M41" s="26" t="str">
        <x:v>Hoàn chỉnh</x:v>
      </x:c>
    </x:row>
    <x:row r="42" ht="15" hidden="0" customHeight="1">
      <x:c r="A42" s="26" t="n">
        <x:v>38</x:v>
      </x:c>
      <x:c r="B42" s="16" t="str">
        <x:v>TC-BOOKING-BVA-15</x:v>
      </x:c>
      <x:c r="C42" s="26" t="str">
        <x:v>Booking</x:v>
      </x:c>
      <x:c r="D42" s="16" t="str">
        <x:v>getUserBookings</x:v>
      </x:c>
      <x:c r="E42" s="16" t="str">
        <x:v>userId</x:v>
      </x:c>
      <x:c r="F42" s="16" t="str">
        <x:v>/bookings/validate-user</x:v>
      </x:c>
      <x:c r="G42" s="26" t="str">
        <x:v>GET</x:v>
      </x:c>
      <x:c r="H42" s="26" t="n">
        <x:v>1</x:v>
      </x:c>
      <x:c r="I42" s="26" t="str"/>
      <x:c r="J42" s="26" t="str">
        <x:v>MIN + 1</x:v>
      </x:c>
      <x:c r="K42" s="16" t="str">
        <x:v>2</x:v>
      </x:c>
      <x:c r="L42" s="26" t="str">
        <x:v>success</x:v>
      </x:c>
      <x:c r="M42" s="26" t="str">
        <x:v>Hoàn chỉnh</x:v>
      </x:c>
    </x:row>
    <x:row r="43" ht="15" hidden="0" customHeight="1">
      <x:c r="A43" s="26" t="n">
        <x:v>39</x:v>
      </x:c>
      <x:c r="B43" s="16" t="str">
        <x:v>TC-BOOKING-BVA-16</x:v>
      </x:c>
      <x:c r="C43" s="26" t="str">
        <x:v>Booking</x:v>
      </x:c>
      <x:c r="D43" s="16" t="str">
        <x:v>cancelBooking</x:v>
      </x:c>
      <x:c r="E43" s="16" t="str">
        <x:v>userId</x:v>
      </x:c>
      <x:c r="F43" s="16" t="str">
        <x:v>/bookings/validate-cancel</x:v>
      </x:c>
      <x:c r="G43" s="26" t="str">
        <x:v>POST</x:v>
      </x:c>
      <x:c r="H43" s="26" t="n">
        <x:v>1</x:v>
      </x:c>
      <x:c r="I43" s="26" t="str"/>
      <x:c r="J43" s="26" t="str">
        <x:v>MIN - 2</x:v>
      </x:c>
      <x:c r="K43" s="16" t="str">
        <x:v>-1</x:v>
      </x:c>
      <x:c r="L43" s="26" t="str">
        <x:v>error</x:v>
      </x:c>
      <x:c r="M43" s="26" t="str">
        <x:v>Hoàn chỉnh</x:v>
      </x:c>
    </x:row>
    <x:row r="44" ht="15" hidden="0" customHeight="1">
      <x:c r="A44" s="26" t="n">
        <x:v>40</x:v>
      </x:c>
      <x:c r="B44" s="16" t="str">
        <x:v>TC-BOOKING-BVA-17</x:v>
      </x:c>
      <x:c r="C44" s="26" t="str">
        <x:v>Booking</x:v>
      </x:c>
      <x:c r="D44" s="16" t="str">
        <x:v>cancelBooking</x:v>
      </x:c>
      <x:c r="E44" s="16" t="str">
        <x:v>userId</x:v>
      </x:c>
      <x:c r="F44" s="16" t="str">
        <x:v>/bookings/validate-cancel</x:v>
      </x:c>
      <x:c r="G44" s="26" t="str">
        <x:v>POST</x:v>
      </x:c>
      <x:c r="H44" s="26" t="n">
        <x:v>1</x:v>
      </x:c>
      <x:c r="I44" s="26" t="str"/>
      <x:c r="J44" s="26" t="str">
        <x:v>MIN - 1</x:v>
      </x:c>
      <x:c r="K44" s="16" t="str">
        <x:v>0</x:v>
      </x:c>
      <x:c r="L44" s="26" t="str">
        <x:v>error</x:v>
      </x:c>
      <x:c r="M44" s="26" t="str">
        <x:v>Hoàn chỉnh</x:v>
      </x:c>
    </x:row>
    <x:row r="45" ht="15" hidden="0" customHeight="1">
      <x:c r="A45" s="26" t="n">
        <x:v>41</x:v>
      </x:c>
      <x:c r="B45" s="16" t="str">
        <x:v>TC-BOOKING-BVA-18</x:v>
      </x:c>
      <x:c r="C45" s="26" t="str">
        <x:v>Booking</x:v>
      </x:c>
      <x:c r="D45" s="16" t="str">
        <x:v>cancelBooking</x:v>
      </x:c>
      <x:c r="E45" s="16" t="str">
        <x:v>userId</x:v>
      </x:c>
      <x:c r="F45" s="16" t="str">
        <x:v>/bookings/validate-cancel</x:v>
      </x:c>
      <x:c r="G45" s="26" t="str">
        <x:v>POST</x:v>
      </x:c>
      <x:c r="H45" s="26" t="n">
        <x:v>1</x:v>
      </x:c>
      <x:c r="I45" s="26" t="str"/>
      <x:c r="J45" s="26" t="str">
        <x:v>MIN</x:v>
      </x:c>
      <x:c r="K45" s="16" t="str">
        <x:v>1</x:v>
      </x:c>
      <x:c r="L45" s="26" t="str">
        <x:v>success</x:v>
      </x:c>
      <x:c r="M45" s="26" t="str">
        <x:v>Hoàn chỉnh</x:v>
      </x:c>
    </x:row>
    <x:row r="46" ht="15" hidden="0" customHeight="1">
      <x:c r="A46" s="26" t="n">
        <x:v>42</x:v>
      </x:c>
      <x:c r="B46" s="16" t="str">
        <x:v>TC-BOOKING-BVA-19</x:v>
      </x:c>
      <x:c r="C46" s="26" t="str">
        <x:v>Booking</x:v>
      </x:c>
      <x:c r="D46" s="16" t="str">
        <x:v>cancelBooking</x:v>
      </x:c>
      <x:c r="E46" s="16" t="str">
        <x:v>userId</x:v>
      </x:c>
      <x:c r="F46" s="16" t="str">
        <x:v>/bookings/validate-cancel</x:v>
      </x:c>
      <x:c r="G46" s="26" t="str">
        <x:v>POST</x:v>
      </x:c>
      <x:c r="H46" s="26" t="n">
        <x:v>1</x:v>
      </x:c>
      <x:c r="I46" s="26" t="str"/>
      <x:c r="J46" s="26" t="str">
        <x:v>MIN + 1</x:v>
      </x:c>
      <x:c r="K46" s="16" t="str">
        <x:v>2</x:v>
      </x:c>
      <x:c r="L46" s="26" t="str">
        <x:v>success</x:v>
      </x:c>
      <x:c r="M46" s="26" t="str">
        <x:v>Hoàn chỉnh</x:v>
      </x:c>
    </x:row>
    <x:row r="47" ht="15" hidden="0" customHeight="1">
      <x:c r="A47" s="26" t="n">
        <x:v>43</x:v>
      </x:c>
      <x:c r="B47" s="16" t="str">
        <x:v>TC-BOOKING-BVA-20</x:v>
      </x:c>
      <x:c r="C47" s="26" t="str">
        <x:v>Booking</x:v>
      </x:c>
      <x:c r="D47" s="16" t="str">
        <x:v>cancelBooking</x:v>
      </x:c>
      <x:c r="E47" s="16" t="str">
        <x:v>bookingId</x:v>
      </x:c>
      <x:c r="F47" s="16" t="str">
        <x:v>/bookings/validate-cancel</x:v>
      </x:c>
      <x:c r="G47" s="26" t="str">
        <x:v>POST</x:v>
      </x:c>
      <x:c r="H47" s="26" t="n">
        <x:v>1</x:v>
      </x:c>
      <x:c r="I47" s="26" t="str"/>
      <x:c r="J47" s="26" t="str">
        <x:v>MIN - 2</x:v>
      </x:c>
      <x:c r="K47" s="16" t="str">
        <x:v>-1</x:v>
      </x:c>
      <x:c r="L47" s="26" t="str">
        <x:v>error</x:v>
      </x:c>
      <x:c r="M47" s="26" t="str">
        <x:v>Hoàn chỉnh</x:v>
      </x:c>
    </x:row>
    <x:row r="48" ht="15" hidden="0" customHeight="1">
      <x:c r="A48" s="26" t="n">
        <x:v>44</x:v>
      </x:c>
      <x:c r="B48" s="16" t="str">
        <x:v>TC-BOOKING-BVA-21</x:v>
      </x:c>
      <x:c r="C48" s="26" t="str">
        <x:v>Booking</x:v>
      </x:c>
      <x:c r="D48" s="16" t="str">
        <x:v>cancelBooking</x:v>
      </x:c>
      <x:c r="E48" s="16" t="str">
        <x:v>bookingId</x:v>
      </x:c>
      <x:c r="F48" s="16" t="str">
        <x:v>/bookings/validate-cancel</x:v>
      </x:c>
      <x:c r="G48" s="26" t="str">
        <x:v>POST</x:v>
      </x:c>
      <x:c r="H48" s="26" t="n">
        <x:v>1</x:v>
      </x:c>
      <x:c r="I48" s="26" t="str"/>
      <x:c r="J48" s="26" t="str">
        <x:v>MIN - 1</x:v>
      </x:c>
      <x:c r="K48" s="16" t="str">
        <x:v>0</x:v>
      </x:c>
      <x:c r="L48" s="26" t="str">
        <x:v>error</x:v>
      </x:c>
      <x:c r="M48" s="26" t="str">
        <x:v>Hoàn chỉnh</x:v>
      </x:c>
    </x:row>
    <x:row r="49" ht="15" hidden="0" customHeight="1">
      <x:c r="A49" s="26" t="n">
        <x:v>45</x:v>
      </x:c>
      <x:c r="B49" s="16" t="str">
        <x:v>TC-BOOKING-BVA-22</x:v>
      </x:c>
      <x:c r="C49" s="26" t="str">
        <x:v>Booking</x:v>
      </x:c>
      <x:c r="D49" s="16" t="str">
        <x:v>cancelBooking</x:v>
      </x:c>
      <x:c r="E49" s="16" t="str">
        <x:v>bookingId</x:v>
      </x:c>
      <x:c r="F49" s="16" t="str">
        <x:v>/bookings/validate-cancel</x:v>
      </x:c>
      <x:c r="G49" s="26" t="str">
        <x:v>POST</x:v>
      </x:c>
      <x:c r="H49" s="26" t="n">
        <x:v>1</x:v>
      </x:c>
      <x:c r="I49" s="26" t="str"/>
      <x:c r="J49" s="26" t="str">
        <x:v>MIN</x:v>
      </x:c>
      <x:c r="K49" s="16" t="str">
        <x:v>1</x:v>
      </x:c>
      <x:c r="L49" s="26" t="str">
        <x:v>success</x:v>
      </x:c>
      <x:c r="M49" s="26" t="str">
        <x:v>Hoàn chỉnh</x:v>
      </x:c>
    </x:row>
    <x:row r="50" ht="15" hidden="0" customHeight="1">
      <x:c r="A50" s="26" t="n">
        <x:v>46</x:v>
      </x:c>
      <x:c r="B50" s="16" t="str">
        <x:v>TC-BOOKING-BVA-23</x:v>
      </x:c>
      <x:c r="C50" s="26" t="str">
        <x:v>Booking</x:v>
      </x:c>
      <x:c r="D50" s="16" t="str">
        <x:v>cancelBooking</x:v>
      </x:c>
      <x:c r="E50" s="16" t="str">
        <x:v>bookingId</x:v>
      </x:c>
      <x:c r="F50" s="16" t="str">
        <x:v>/bookings/validate-cancel</x:v>
      </x:c>
      <x:c r="G50" s="26" t="str">
        <x:v>POST</x:v>
      </x:c>
      <x:c r="H50" s="26" t="n">
        <x:v>1</x:v>
      </x:c>
      <x:c r="I50" s="26" t="str"/>
      <x:c r="J50" s="26" t="str">
        <x:v>MIN + 1</x:v>
      </x:c>
      <x:c r="K50" s="16" t="str">
        <x:v>2</x:v>
      </x:c>
      <x:c r="L50" s="26" t="str">
        <x:v>success</x:v>
      </x:c>
      <x:c r="M50" s="26" t="str">
        <x:v>Hoàn chỉnh</x:v>
      </x:c>
    </x:row>
    <x:row r="51" ht="15" hidden="0" customHeight="1">
      <x:c r="A51" s="26" t="n">
        <x:v>47</x:v>
      </x:c>
      <x:c r="B51" s="16" t="str">
        <x:v>TC-BOOKING-BVA-24</x:v>
      </x:c>
      <x:c r="C51" s="26" t="str">
        <x:v>Booking</x:v>
      </x:c>
      <x:c r="D51" s="16" t="str">
        <x:v>getAdminBookingDetail</x:v>
      </x:c>
      <x:c r="E51" s="16" t="str">
        <x:v>bookingId</x:v>
      </x:c>
      <x:c r="F51" s="16" t="str">
        <x:v>/admin/bookings/validate-detail</x:v>
      </x:c>
      <x:c r="G51" s="26" t="str">
        <x:v>GET</x:v>
      </x:c>
      <x:c r="H51" s="26" t="n">
        <x:v>1</x:v>
      </x:c>
      <x:c r="I51" s="26" t="str"/>
      <x:c r="J51" s="26" t="str">
        <x:v>MIN - 2</x:v>
      </x:c>
      <x:c r="K51" s="16" t="str">
        <x:v>-1</x:v>
      </x:c>
      <x:c r="L51" s="26" t="str">
        <x:v>success</x:v>
      </x:c>
      <x:c r="M51" s="26" t="str">
        <x:v>Hoàn chỉnh</x:v>
      </x:c>
    </x:row>
    <x:row r="52" ht="15" hidden="0" customHeight="1">
      <x:c r="A52" s="26" t="n">
        <x:v>48</x:v>
      </x:c>
      <x:c r="B52" s="16" t="str">
        <x:v>TC-BOOKING-BVA-25</x:v>
      </x:c>
      <x:c r="C52" s="26" t="str">
        <x:v>Booking</x:v>
      </x:c>
      <x:c r="D52" s="16" t="str">
        <x:v>getAdminBookingDetail</x:v>
      </x:c>
      <x:c r="E52" s="16" t="str">
        <x:v>bookingId</x:v>
      </x:c>
      <x:c r="F52" s="16" t="str">
        <x:v>/admin/bookings/validate-detail</x:v>
      </x:c>
      <x:c r="G52" s="26" t="str">
        <x:v>GET</x:v>
      </x:c>
      <x:c r="H52" s="26" t="n">
        <x:v>1</x:v>
      </x:c>
      <x:c r="I52" s="26" t="str"/>
      <x:c r="J52" s="26" t="str">
        <x:v>MIN - 1</x:v>
      </x:c>
      <x:c r="K52" s="16" t="str">
        <x:v>0</x:v>
      </x:c>
      <x:c r="L52" s="26" t="str">
        <x:v>success</x:v>
      </x:c>
      <x:c r="M52" s="26" t="str">
        <x:v>Hoàn chỉnh</x:v>
      </x:c>
    </x:row>
    <x:row r="53" ht="15" hidden="0" customHeight="1">
      <x:c r="A53" s="26" t="n">
        <x:v>49</x:v>
      </x:c>
      <x:c r="B53" s="16" t="str">
        <x:v>TC-BOOKING-BVA-26</x:v>
      </x:c>
      <x:c r="C53" s="26" t="str">
        <x:v>Booking</x:v>
      </x:c>
      <x:c r="D53" s="16" t="str">
        <x:v>getAdminBookingDetail</x:v>
      </x:c>
      <x:c r="E53" s="16" t="str">
        <x:v>bookingId</x:v>
      </x:c>
      <x:c r="F53" s="16" t="str">
        <x:v>/admin/bookings/validate-detail</x:v>
      </x:c>
      <x:c r="G53" s="26" t="str">
        <x:v>GET</x:v>
      </x:c>
      <x:c r="H53" s="26" t="n">
        <x:v>1</x:v>
      </x:c>
      <x:c r="I53" s="26" t="str"/>
      <x:c r="J53" s="26" t="str">
        <x:v>MIN</x:v>
      </x:c>
      <x:c r="K53" s="16" t="str">
        <x:v>1</x:v>
      </x:c>
      <x:c r="L53" s="26" t="str">
        <x:v>success</x:v>
      </x:c>
      <x:c r="M53" s="26" t="str">
        <x:v>Hoàn chỉnh</x:v>
      </x:c>
    </x:row>
    <x:row r="54" ht="15" hidden="0" customHeight="1">
      <x:c r="A54" s="26" t="n">
        <x:v>50</x:v>
      </x:c>
      <x:c r="B54" s="16" t="str">
        <x:v>TC-BOOKING-BVA-27</x:v>
      </x:c>
      <x:c r="C54" s="26" t="str">
        <x:v>Booking</x:v>
      </x:c>
      <x:c r="D54" s="16" t="str">
        <x:v>getAdminBookingDetail</x:v>
      </x:c>
      <x:c r="E54" s="16" t="str">
        <x:v>bookingId</x:v>
      </x:c>
      <x:c r="F54" s="16" t="str">
        <x:v>/admin/bookings/validate-detail</x:v>
      </x:c>
      <x:c r="G54" s="26" t="str">
        <x:v>GET</x:v>
      </x:c>
      <x:c r="H54" s="26" t="n">
        <x:v>1</x:v>
      </x:c>
      <x:c r="I54" s="26" t="str"/>
      <x:c r="J54" s="26" t="str">
        <x:v>MIN + 1</x:v>
      </x:c>
      <x:c r="K54" s="16" t="str">
        <x:v>2</x:v>
      </x:c>
      <x:c r="L54" s="26" t="str">
        <x:v>success</x:v>
      </x:c>
      <x:c r="M54" s="26" t="str">
        <x:v>Hoàn chỉnh</x:v>
      </x:c>
    </x:row>
    <x:row r="55" ht="15" hidden="0" customHeight="1">
      <x:c r="A55" s="26" t="n">
        <x:v>51</x:v>
      </x:c>
      <x:c r="B55" s="16" t="str">
        <x:v>TC-BOOKING-BVA-28</x:v>
      </x:c>
      <x:c r="C55" s="26" t="str">
        <x:v>Booking</x:v>
      </x:c>
      <x:c r="D55" s="16" t="str">
        <x:v>updateAdminBookingStatus</x:v>
      </x:c>
      <x:c r="E55" s="16" t="str">
        <x:v>bookingId</x:v>
      </x:c>
      <x:c r="F55" s="16" t="str">
        <x:v>/admin/bookings/validate-status</x:v>
      </x:c>
      <x:c r="G55" s="26" t="str">
        <x:v>POST</x:v>
      </x:c>
      <x:c r="H55" s="26" t="n">
        <x:v>1</x:v>
      </x:c>
      <x:c r="I55" s="26" t="str"/>
      <x:c r="J55" s="26" t="str">
        <x:v>MIN - 2</x:v>
      </x:c>
      <x:c r="K55" s="16" t="str">
        <x:v>-1</x:v>
      </x:c>
      <x:c r="L55" s="26" t="str">
        <x:v>error</x:v>
      </x:c>
      <x:c r="M55" s="26" t="str">
        <x:v>Hoàn chỉnh</x:v>
      </x:c>
    </x:row>
    <x:row r="56" ht="15" hidden="0" customHeight="1">
      <x:c r="A56" s="26" t="n">
        <x:v>52</x:v>
      </x:c>
      <x:c r="B56" s="16" t="str">
        <x:v>TC-BOOKING-BVA-29</x:v>
      </x:c>
      <x:c r="C56" s="26" t="str">
        <x:v>Booking</x:v>
      </x:c>
      <x:c r="D56" s="16" t="str">
        <x:v>updateAdminBookingStatus</x:v>
      </x:c>
      <x:c r="E56" s="16" t="str">
        <x:v>bookingId</x:v>
      </x:c>
      <x:c r="F56" s="16" t="str">
        <x:v>/admin/bookings/validate-status</x:v>
      </x:c>
      <x:c r="G56" s="26" t="str">
        <x:v>POST</x:v>
      </x:c>
      <x:c r="H56" s="26" t="n">
        <x:v>1</x:v>
      </x:c>
      <x:c r="I56" s="26" t="str"/>
      <x:c r="J56" s="26" t="str">
        <x:v>MIN - 1</x:v>
      </x:c>
      <x:c r="K56" s="16" t="str">
        <x:v>0</x:v>
      </x:c>
      <x:c r="L56" s="26" t="str">
        <x:v>error</x:v>
      </x:c>
      <x:c r="M56" s="26" t="str">
        <x:v>Hoàn chỉnh</x:v>
      </x:c>
    </x:row>
    <x:row r="57" ht="15" hidden="0" customHeight="1">
      <x:c r="A57" s="26" t="n">
        <x:v>53</x:v>
      </x:c>
      <x:c r="B57" s="16" t="str">
        <x:v>TC-BOOKING-BVA-30</x:v>
      </x:c>
      <x:c r="C57" s="26" t="str">
        <x:v>Booking</x:v>
      </x:c>
      <x:c r="D57" s="16" t="str">
        <x:v>updateAdminBookingStatus</x:v>
      </x:c>
      <x:c r="E57" s="16" t="str">
        <x:v>bookingId</x:v>
      </x:c>
      <x:c r="F57" s="16" t="str">
        <x:v>/admin/bookings/validate-status</x:v>
      </x:c>
      <x:c r="G57" s="26" t="str">
        <x:v>POST</x:v>
      </x:c>
      <x:c r="H57" s="26" t="n">
        <x:v>1</x:v>
      </x:c>
      <x:c r="I57" s="26" t="str"/>
      <x:c r="J57" s="26" t="str">
        <x:v>MIN</x:v>
      </x:c>
      <x:c r="K57" s="16" t="str">
        <x:v>1</x:v>
      </x:c>
      <x:c r="L57" s="26" t="str">
        <x:v>success</x:v>
      </x:c>
      <x:c r="M57" s="26" t="str">
        <x:v>Hoàn chỉnh</x:v>
      </x:c>
    </x:row>
    <x:row r="58" ht="15" hidden="0" customHeight="1">
      <x:c r="A58" s="26" t="n">
        <x:v>54</x:v>
      </x:c>
      <x:c r="B58" s="16" t="str">
        <x:v>TC-BOOKING-BVA-31</x:v>
      </x:c>
      <x:c r="C58" s="26" t="str">
        <x:v>Booking</x:v>
      </x:c>
      <x:c r="D58" s="16" t="str">
        <x:v>updateAdminBookingStatus</x:v>
      </x:c>
      <x:c r="E58" s="16" t="str">
        <x:v>bookingId</x:v>
      </x:c>
      <x:c r="F58" s="16" t="str">
        <x:v>/admin/bookings/validate-status</x:v>
      </x:c>
      <x:c r="G58" s="26" t="str">
        <x:v>POST</x:v>
      </x:c>
      <x:c r="H58" s="26" t="n">
        <x:v>1</x:v>
      </x:c>
      <x:c r="I58" s="26" t="str"/>
      <x:c r="J58" s="26" t="str">
        <x:v>MIN + 1</x:v>
      </x:c>
      <x:c r="K58" s="16" t="str">
        <x:v>2</x:v>
      </x:c>
      <x:c r="L58" s="26" t="str">
        <x:v>success</x:v>
      </x:c>
      <x:c r="M58" s="26" t="str">
        <x:v>Hoàn chỉnh</x:v>
      </x:c>
    </x:row>
    <x:row r="59" ht="15" hidden="0" customHeight="1">
      <x:c r="A59" s="26" t="n">
        <x:v>55</x:v>
      </x:c>
      <x:c r="B59" s="16" t="str">
        <x:v>TC-BOOKING-BVA-32</x:v>
      </x:c>
      <x:c r="C59" s="26" t="str">
        <x:v>Booking</x:v>
      </x:c>
      <x:c r="D59" s="16" t="str">
        <x:v>deleteAdminBooking</x:v>
      </x:c>
      <x:c r="E59" s="16" t="str">
        <x:v>bookingId</x:v>
      </x:c>
      <x:c r="F59" s="16" t="str">
        <x:v>/admin/bookings/validate-delete</x:v>
      </x:c>
      <x:c r="G59" s="26" t="str">
        <x:v>DELETE</x:v>
      </x:c>
      <x:c r="H59" s="26" t="n">
        <x:v>1</x:v>
      </x:c>
      <x:c r="I59" s="26" t="str"/>
      <x:c r="J59" s="26" t="str">
        <x:v>MIN - 2</x:v>
      </x:c>
      <x:c r="K59" s="16" t="str">
        <x:v>-1</x:v>
      </x:c>
      <x:c r="L59" s="26" t="str">
        <x:v>error</x:v>
      </x:c>
      <x:c r="M59" s="26" t="str">
        <x:v>Hoàn chỉnh</x:v>
      </x:c>
    </x:row>
    <x:row r="60" ht="15" hidden="0" customHeight="1">
      <x:c r="A60" s="26" t="n">
        <x:v>56</x:v>
      </x:c>
      <x:c r="B60" s="16" t="str">
        <x:v>TC-BOOKING-BVA-33</x:v>
      </x:c>
      <x:c r="C60" s="26" t="str">
        <x:v>Booking</x:v>
      </x:c>
      <x:c r="D60" s="16" t="str">
        <x:v>deleteAdminBooking</x:v>
      </x:c>
      <x:c r="E60" s="16" t="str">
        <x:v>bookingId</x:v>
      </x:c>
      <x:c r="F60" s="16" t="str">
        <x:v>/admin/bookings/validate-delete</x:v>
      </x:c>
      <x:c r="G60" s="26" t="str">
        <x:v>DELETE</x:v>
      </x:c>
      <x:c r="H60" s="26" t="n">
        <x:v>1</x:v>
      </x:c>
      <x:c r="I60" s="26" t="str"/>
      <x:c r="J60" s="26" t="str">
        <x:v>MIN - 1</x:v>
      </x:c>
      <x:c r="K60" s="16" t="str">
        <x:v>0</x:v>
      </x:c>
      <x:c r="L60" s="26" t="str">
        <x:v>error</x:v>
      </x:c>
      <x:c r="M60" s="26" t="str">
        <x:v>Hoàn chỉnh</x:v>
      </x:c>
    </x:row>
    <x:row r="61" ht="15" hidden="0" customHeight="1">
      <x:c r="A61" s="26" t="n">
        <x:v>57</x:v>
      </x:c>
      <x:c r="B61" s="16" t="str">
        <x:v>TC-BOOKING-BVA-34</x:v>
      </x:c>
      <x:c r="C61" s="26" t="str">
        <x:v>Booking</x:v>
      </x:c>
      <x:c r="D61" s="16" t="str">
        <x:v>deleteAdminBooking</x:v>
      </x:c>
      <x:c r="E61" s="16" t="str">
        <x:v>bookingId</x:v>
      </x:c>
      <x:c r="F61" s="16" t="str">
        <x:v>/admin/bookings/validate-delete</x:v>
      </x:c>
      <x:c r="G61" s="26" t="str">
        <x:v>DELETE</x:v>
      </x:c>
      <x:c r="H61" s="26" t="n">
        <x:v>1</x:v>
      </x:c>
      <x:c r="I61" s="26" t="str"/>
      <x:c r="J61" s="26" t="str">
        <x:v>MIN</x:v>
      </x:c>
      <x:c r="K61" s="16" t="str">
        <x:v>1</x:v>
      </x:c>
      <x:c r="L61" s="26" t="str">
        <x:v>success</x:v>
      </x:c>
      <x:c r="M61" s="26" t="str">
        <x:v>Hoàn chỉnh</x:v>
      </x:c>
    </x:row>
    <x:row r="62" ht="15" hidden="0" customHeight="1">
      <x:c r="A62" s="26" t="n">
        <x:v>58</x:v>
      </x:c>
      <x:c r="B62" s="16" t="str">
        <x:v>TC-BOOKING-BVA-35</x:v>
      </x:c>
      <x:c r="C62" s="26" t="str">
        <x:v>Booking</x:v>
      </x:c>
      <x:c r="D62" s="16" t="str">
        <x:v>deleteAdminBooking</x:v>
      </x:c>
      <x:c r="E62" s="16" t="str">
        <x:v>bookingId</x:v>
      </x:c>
      <x:c r="F62" s="16" t="str">
        <x:v>/admin/bookings/validate-delete</x:v>
      </x:c>
      <x:c r="G62" s="26" t="str">
        <x:v>DELETE</x:v>
      </x:c>
      <x:c r="H62" s="26" t="n">
        <x:v>1</x:v>
      </x:c>
      <x:c r="I62" s="26" t="str"/>
      <x:c r="J62" s="26" t="str">
        <x:v>MIN + 1</x:v>
      </x:c>
      <x:c r="K62" s="16" t="str">
        <x:v>2</x:v>
      </x:c>
      <x:c r="L62" s="26" t="str">
        <x:v>success</x:v>
      </x:c>
      <x:c r="M62" s="26" t="str">
        <x:v>Hoàn chỉnh</x:v>
      </x:c>
    </x:row>
    <x:row r="63" ht="15" hidden="0" customHeight="1">
      <x:c r="A63" s="26" t="n">
        <x:v>59</x:v>
      </x:c>
      <x:c r="B63" s="16" t="str">
        <x:v>TC-BOOKING-BVA-36</x:v>
      </x:c>
      <x:c r="C63" s="26" t="str">
        <x:v>Booking</x:v>
      </x:c>
      <x:c r="D63" s="16" t="str">
        <x:v>getTotalSpentByUser</x:v>
      </x:c>
      <x:c r="E63" s="16" t="str">
        <x:v>userId</x:v>
      </x:c>
      <x:c r="F63" s="16" t="str">
        <x:v>/bookings/validate-total-spent</x:v>
      </x:c>
      <x:c r="G63" s="26" t="str">
        <x:v>GET</x:v>
      </x:c>
      <x:c r="H63" s="26" t="n">
        <x:v>1</x:v>
      </x:c>
      <x:c r="I63" s="26" t="str"/>
      <x:c r="J63" s="26" t="str">
        <x:v>MIN - 2</x:v>
      </x:c>
      <x:c r="K63" s="16" t="str">
        <x:v>-1</x:v>
      </x:c>
      <x:c r="L63" s="26" t="str">
        <x:v>success</x:v>
      </x:c>
      <x:c r="M63" s="26" t="str">
        <x:v>Hoàn chỉnh</x:v>
      </x:c>
    </x:row>
    <x:row r="64" ht="15" hidden="0" customHeight="1">
      <x:c r="A64" s="26" t="n">
        <x:v>60</x:v>
      </x:c>
      <x:c r="B64" s="16" t="str">
        <x:v>TC-BOOKING-BVA-37</x:v>
      </x:c>
      <x:c r="C64" s="26" t="str">
        <x:v>Booking</x:v>
      </x:c>
      <x:c r="D64" s="16" t="str">
        <x:v>getTotalSpentByUser</x:v>
      </x:c>
      <x:c r="E64" s="16" t="str">
        <x:v>userId</x:v>
      </x:c>
      <x:c r="F64" s="16" t="str">
        <x:v>/bookings/validate-total-spent</x:v>
      </x:c>
      <x:c r="G64" s="26" t="str">
        <x:v>GET</x:v>
      </x:c>
      <x:c r="H64" s="26" t="n">
        <x:v>1</x:v>
      </x:c>
      <x:c r="I64" s="26" t="str"/>
      <x:c r="J64" s="26" t="str">
        <x:v>MIN - 1</x:v>
      </x:c>
      <x:c r="K64" s="16" t="str">
        <x:v>0</x:v>
      </x:c>
      <x:c r="L64" s="26" t="str">
        <x:v>success</x:v>
      </x:c>
      <x:c r="M64" s="26" t="str">
        <x:v>Hoàn chỉnh</x:v>
      </x:c>
    </x:row>
    <x:row r="65" ht="15" hidden="0" customHeight="1">
      <x:c r="A65" s="26" t="n">
        <x:v>61</x:v>
      </x:c>
      <x:c r="B65" s="16" t="str">
        <x:v>TC-BOOKING-BVA-38</x:v>
      </x:c>
      <x:c r="C65" s="26" t="str">
        <x:v>Booking</x:v>
      </x:c>
      <x:c r="D65" s="16" t="str">
        <x:v>getTotalSpentByUser</x:v>
      </x:c>
      <x:c r="E65" s="16" t="str">
        <x:v>userId</x:v>
      </x:c>
      <x:c r="F65" s="16" t="str">
        <x:v>/bookings/validate-total-spent</x:v>
      </x:c>
      <x:c r="G65" s="26" t="str">
        <x:v>GET</x:v>
      </x:c>
      <x:c r="H65" s="26" t="n">
        <x:v>1</x:v>
      </x:c>
      <x:c r="I65" s="26" t="str"/>
      <x:c r="J65" s="26" t="str">
        <x:v>MIN</x:v>
      </x:c>
      <x:c r="K65" s="16" t="str">
        <x:v>1</x:v>
      </x:c>
      <x:c r="L65" s="26" t="str">
        <x:v>success</x:v>
      </x:c>
      <x:c r="M65" s="26" t="str">
        <x:v>Hoàn chỉnh</x:v>
      </x:c>
    </x:row>
    <x:row r="66" ht="15" hidden="0" customHeight="1">
      <x:c r="A66" s="26" t="n">
        <x:v>62</x:v>
      </x:c>
      <x:c r="B66" s="16" t="str">
        <x:v>TC-BOOKING-BVA-39</x:v>
      </x:c>
      <x:c r="C66" s="26" t="str">
        <x:v>Booking</x:v>
      </x:c>
      <x:c r="D66" s="16" t="str">
        <x:v>getTotalSpentByUser</x:v>
      </x:c>
      <x:c r="E66" s="16" t="str">
        <x:v>userId</x:v>
      </x:c>
      <x:c r="F66" s="16" t="str">
        <x:v>/bookings/validate-total-spent</x:v>
      </x:c>
      <x:c r="G66" s="26" t="str">
        <x:v>GET</x:v>
      </x:c>
      <x:c r="H66" s="26" t="n">
        <x:v>1</x:v>
      </x:c>
      <x:c r="I66" s="26" t="str"/>
      <x:c r="J66" s="26" t="str">
        <x:v>MIN + 1</x:v>
      </x:c>
      <x:c r="K66" s="16" t="str">
        <x:v>2</x:v>
      </x:c>
      <x:c r="L66" s="26" t="str">
        <x:v>success</x:v>
      </x:c>
      <x:c r="M66" s="26" t="str">
        <x:v>Hoàn chỉnh</x:v>
      </x:c>
    </x:row>
  </x:sheetData>
  <x:mergeCells>
    <x:mergeCell ref="A1:M1"/>
    <x:mergeCell ref="A2:M2"/>
  </x:mergeCells>
  <x:conditionalFormatting sqref="L5:L66">
    <x:cfRule type="expression" dxfId="0" priority="1">
      <x:formula>L5="success"</x:formula>
    </x:cfRule>
    <x:cfRule type="expression" dxfId="1" priority="2">
      <x:formula>L5="error"</x:formula>
    </x:cfRule>
  </x:conditionalFormatting>
  <x:conditionalFormatting sqref="M5:M66">
    <x:cfRule type="expression" dxfId="2" priority="3">
      <x:formula>M5="Hoàn chỉnh"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5a1d4c73a5a4a4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5" hidden="0" customWidth="1"/>
    <x:col min="3" max="3" width="28" hidden="0" customWidth="1"/>
    <x:col min="4" max="4" width="18" hidden="0" customWidth="1"/>
    <x:col min="5" max="5" width="34" hidden="0" customWidth="1"/>
    <x:col min="6" max="6" width="13" hidden="0" customWidth="1"/>
    <x:col min="7" max="7" width="14" hidden="0" customWidth="1"/>
    <x:col min="8" max="8" width="18" hidden="0" customWidth="1"/>
    <x:col min="9" max="9" width="12" hidden="0" customWidth="1"/>
    <x:col min="10" max="10" width="16" hidden="0" customWidth="1"/>
  </x:cols>
  <x:sheetData>
    <x:row r="1">
      <x:c r="A1" s="67" t="str">
        <x:v>BOOKING - BVA MODULE MỚI</x:v>
      </x:c>
      <x:c r="B1" s="67"/>
      <x:c r="C1" s="67"/>
      <x:c r="D1" s="67"/>
      <x:c r="E1" s="67"/>
      <x:c r="F1" s="67"/>
      <x:c r="G1" s="67"/>
      <x:c r="H1" s="67"/>
      <x:c r="I1" s="67"/>
      <x:c r="J1" s="67"/>
    </x:row>
    <x:row r="2">
      <x:c r="A2" s="72" t="str">
        <x:v>39 test case được định nghĩa trong bva-cases.js và được ánh xạ endpoint/method trong generate-postman.js.</x:v>
      </x:c>
      <x:c r="B2" s="72"/>
      <x:c r="C2" s="72"/>
      <x:c r="D2" s="72"/>
      <x:c r="E2" s="72"/>
      <x:c r="F2" s="72"/>
      <x:c r="G2" s="72"/>
      <x:c r="H2" s="72"/>
      <x:c r="I2" s="72"/>
      <x:c r="J2" s="72"/>
    </x:row>
    <x:row r="4">
      <x:c r="A4" s="78" t="str">
        <x:v>STT</x:v>
      </x:c>
      <x:c r="B4" s="78" t="str">
        <x:v>Test Case</x:v>
      </x:c>
      <x:c r="C4" s="78" t="str">
        <x:v>Service Method</x:v>
      </x:c>
      <x:c r="D4" s="78" t="str">
        <x:v>Field</x:v>
      </x:c>
      <x:c r="E4" s="78" t="str">
        <x:v>Endpoint</x:v>
      </x:c>
      <x:c r="F4" s="78" t="str">
        <x:v>HTTP Method</x:v>
      </x:c>
      <x:c r="G4" s="78" t="str">
        <x:v>Boundary</x:v>
      </x:c>
      <x:c r="H4" s="78" t="str">
        <x:v>Input</x:v>
      </x:c>
      <x:c r="I4" s="78" t="str">
        <x:v>Expected</x:v>
      </x:c>
      <x:c r="J4" s="78" t="str">
        <x:v>Trạng thái</x:v>
      </x:c>
    </x:row>
    <x:row r="5">
      <x:c r="A5" s="16" t="n">
        <x:v>1</x:v>
      </x:c>
      <x:c r="B5" s="16" t="str">
        <x:v>TC-BOOKING-BVA-01</x:v>
      </x:c>
      <x:c r="C5" s="16" t="str">
        <x:v>processBooking</x:v>
      </x:c>
      <x:c r="D5" s="16" t="str">
        <x:v>userId</x:v>
      </x:c>
      <x:c r="E5" s="16" t="str">
        <x:v>/bookings/validate</x:v>
      </x:c>
      <x:c r="F5" s="16" t="str">
        <x:v>POST</x:v>
      </x:c>
      <x:c r="G5" s="16" t="str">
        <x:v>MIN - 2</x:v>
      </x:c>
      <x:c r="H5" s="16" t="str">
        <x:v>-1</x:v>
      </x:c>
      <x:c r="I5" s="16" t="str">
        <x:v>error</x:v>
      </x:c>
      <x:c r="J5" s="16" t="str">
        <x:v>Hoàn chỉnh</x:v>
      </x:c>
    </x:row>
    <x:row r="6">
      <x:c r="A6" s="16" t="n">
        <x:v>2</x:v>
      </x:c>
      <x:c r="B6" s="16" t="str">
        <x:v>TC-BOOKING-BVA-02</x:v>
      </x:c>
      <x:c r="C6" s="16" t="str">
        <x:v>processBooking</x:v>
      </x:c>
      <x:c r="D6" s="16" t="str">
        <x:v>userId</x:v>
      </x:c>
      <x:c r="E6" s="16" t="str">
        <x:v>/bookings/validate</x:v>
      </x:c>
      <x:c r="F6" s="16" t="str">
        <x:v>POST</x:v>
      </x:c>
      <x:c r="G6" s="16" t="str">
        <x:v>MIN - 1</x:v>
      </x:c>
      <x:c r="H6" s="16" t="str">
        <x:v>0</x:v>
      </x:c>
      <x:c r="I6" s="16" t="str">
        <x:v>error</x:v>
      </x:c>
      <x:c r="J6" s="16" t="str">
        <x:v>Hoàn chỉnh</x:v>
      </x:c>
    </x:row>
    <x:row r="7">
      <x:c r="A7" s="16" t="n">
        <x:v>3</x:v>
      </x:c>
      <x:c r="B7" s="16" t="str">
        <x:v>TC-BOOKING-BVA-03</x:v>
      </x:c>
      <x:c r="C7" s="16" t="str">
        <x:v>processBooking</x:v>
      </x:c>
      <x:c r="D7" s="16" t="str">
        <x:v>userId</x:v>
      </x:c>
      <x:c r="E7" s="16" t="str">
        <x:v>/bookings/validate</x:v>
      </x:c>
      <x:c r="F7" s="16" t="str">
        <x:v>POST</x:v>
      </x:c>
      <x:c r="G7" s="16" t="str">
        <x:v>MIN</x:v>
      </x:c>
      <x:c r="H7" s="16" t="str">
        <x:v>1</x:v>
      </x:c>
      <x:c r="I7" s="16" t="str">
        <x:v>success</x:v>
      </x:c>
      <x:c r="J7" s="16" t="str">
        <x:v>Hoàn chỉnh</x:v>
      </x:c>
    </x:row>
    <x:row r="8">
      <x:c r="A8" s="16" t="n">
        <x:v>4</x:v>
      </x:c>
      <x:c r="B8" s="16" t="str">
        <x:v>TC-BOOKING-BVA-04</x:v>
      </x:c>
      <x:c r="C8" s="16" t="str">
        <x:v>processBooking</x:v>
      </x:c>
      <x:c r="D8" s="16" t="str">
        <x:v>userId</x:v>
      </x:c>
      <x:c r="E8" s="16" t="str">
        <x:v>/bookings/validate</x:v>
      </x:c>
      <x:c r="F8" s="16" t="str">
        <x:v>POST</x:v>
      </x:c>
      <x:c r="G8" s="16" t="str">
        <x:v>MIN + 1</x:v>
      </x:c>
      <x:c r="H8" s="16" t="str">
        <x:v>2</x:v>
      </x:c>
      <x:c r="I8" s="16" t="str">
        <x:v>success</x:v>
      </x:c>
      <x:c r="J8" s="16" t="str">
        <x:v>Hoàn chỉnh</x:v>
      </x:c>
    </x:row>
    <x:row r="9">
      <x:c r="A9" s="16" t="n">
        <x:v>5</x:v>
      </x:c>
      <x:c r="B9" s="16" t="str">
        <x:v>TC-BOOKING-BVA-05</x:v>
      </x:c>
      <x:c r="C9" s="16" t="str">
        <x:v>processBooking</x:v>
      </x:c>
      <x:c r="D9" s="16" t="str">
        <x:v>showtimeId</x:v>
      </x:c>
      <x:c r="E9" s="16" t="str">
        <x:v>/bookings/validate</x:v>
      </x:c>
      <x:c r="F9" s="16" t="str">
        <x:v>POST</x:v>
      </x:c>
      <x:c r="G9" s="16" t="str">
        <x:v>MIN - 2</x:v>
      </x:c>
      <x:c r="H9" s="16" t="str">
        <x:v>-1</x:v>
      </x:c>
      <x:c r="I9" s="16" t="str">
        <x:v>error</x:v>
      </x:c>
      <x:c r="J9" s="16" t="str">
        <x:v>Hoàn chỉnh</x:v>
      </x:c>
    </x:row>
    <x:row r="10">
      <x:c r="A10" s="16" t="n">
        <x:v>6</x:v>
      </x:c>
      <x:c r="B10" s="16" t="str">
        <x:v>TC-BOOKING-BVA-06</x:v>
      </x:c>
      <x:c r="C10" s="16" t="str">
        <x:v>processBooking</x:v>
      </x:c>
      <x:c r="D10" s="16" t="str">
        <x:v>showtimeId</x:v>
      </x:c>
      <x:c r="E10" s="16" t="str">
        <x:v>/bookings/validate</x:v>
      </x:c>
      <x:c r="F10" s="16" t="str">
        <x:v>POST</x:v>
      </x:c>
      <x:c r="G10" s="16" t="str">
        <x:v>MIN - 1</x:v>
      </x:c>
      <x:c r="H10" s="16" t="str">
        <x:v>0</x:v>
      </x:c>
      <x:c r="I10" s="16" t="str">
        <x:v>error</x:v>
      </x:c>
      <x:c r="J10" s="16" t="str">
        <x:v>Hoàn chỉnh</x:v>
      </x:c>
    </x:row>
    <x:row r="11">
      <x:c r="A11" s="16" t="n">
        <x:v>7</x:v>
      </x:c>
      <x:c r="B11" s="16" t="str">
        <x:v>TC-BOOKING-BVA-07</x:v>
      </x:c>
      <x:c r="C11" s="16" t="str">
        <x:v>processBooking</x:v>
      </x:c>
      <x:c r="D11" s="16" t="str">
        <x:v>showtimeId</x:v>
      </x:c>
      <x:c r="E11" s="16" t="str">
        <x:v>/bookings/validate</x:v>
      </x:c>
      <x:c r="F11" s="16" t="str">
        <x:v>POST</x:v>
      </x:c>
      <x:c r="G11" s="16" t="str">
        <x:v>MIN</x:v>
      </x:c>
      <x:c r="H11" s="16" t="str">
        <x:v>1</x:v>
      </x:c>
      <x:c r="I11" s="16" t="str">
        <x:v>success</x:v>
      </x:c>
      <x:c r="J11" s="16" t="str">
        <x:v>Hoàn chỉnh</x:v>
      </x:c>
    </x:row>
    <x:row r="12">
      <x:c r="A12" s="16" t="n">
        <x:v>8</x:v>
      </x:c>
      <x:c r="B12" s="16" t="str">
        <x:v>TC-BOOKING-BVA-08</x:v>
      </x:c>
      <x:c r="C12" s="16" t="str">
        <x:v>processBooking</x:v>
      </x:c>
      <x:c r="D12" s="16" t="str">
        <x:v>showtimeId</x:v>
      </x:c>
      <x:c r="E12" s="16" t="str">
        <x:v>/bookings/validate</x:v>
      </x:c>
      <x:c r="F12" s="16" t="str">
        <x:v>POST</x:v>
      </x:c>
      <x:c r="G12" s="16" t="str">
        <x:v>MIN + 1</x:v>
      </x:c>
      <x:c r="H12" s="16" t="str">
        <x:v>2</x:v>
      </x:c>
      <x:c r="I12" s="16" t="str">
        <x:v>success</x:v>
      </x:c>
      <x:c r="J12" s="16" t="str">
        <x:v>Hoàn chỉnh</x:v>
      </x:c>
    </x:row>
    <x:row r="13">
      <x:c r="A13" s="16" t="n">
        <x:v>9</x:v>
      </x:c>
      <x:c r="B13" s="16" t="str">
        <x:v>TC-BOOKING-BVA-09</x:v>
      </x:c>
      <x:c r="C13" s="16" t="str">
        <x:v>processBooking</x:v>
      </x:c>
      <x:c r="D13" s="16" t="str">
        <x:v>seatIds</x:v>
      </x:c>
      <x:c r="E13" s="16" t="str">
        <x:v>/bookings/validate</x:v>
      </x:c>
      <x:c r="F13" s="16" t="str">
        <x:v>POST</x:v>
      </x:c>
      <x:c r="G13" s="16" t="str">
        <x:v>MIN - 1</x:v>
      </x:c>
      <x:c r="H13" s="16" t="str">
        <x:v>[]</x:v>
      </x:c>
      <x:c r="I13" s="16" t="str">
        <x:v>error</x:v>
      </x:c>
      <x:c r="J13" s="16" t="str">
        <x:v>Hoàn chỉnh</x:v>
      </x:c>
    </x:row>
    <x:row r="14">
      <x:c r="A14" s="16" t="n">
        <x:v>10</x:v>
      </x:c>
      <x:c r="B14" s="16" t="str">
        <x:v>TC-BOOKING-BVA-10</x:v>
      </x:c>
      <x:c r="C14" s="16" t="str">
        <x:v>processBooking</x:v>
      </x:c>
      <x:c r="D14" s="16" t="str">
        <x:v>seatIds</x:v>
      </x:c>
      <x:c r="E14" s="16" t="str">
        <x:v>/bookings/validate</x:v>
      </x:c>
      <x:c r="F14" s="16" t="str">
        <x:v>POST</x:v>
      </x:c>
      <x:c r="G14" s="16" t="str">
        <x:v>MIN</x:v>
      </x:c>
      <x:c r="H14" s="16" t="str">
        <x:v>[1]</x:v>
      </x:c>
      <x:c r="I14" s="16" t="str">
        <x:v>success</x:v>
      </x:c>
      <x:c r="J14" s="16" t="str">
        <x:v>Hoàn chỉnh</x:v>
      </x:c>
    </x:row>
    <x:row r="15">
      <x:c r="A15" s="16" t="n">
        <x:v>11</x:v>
      </x:c>
      <x:c r="B15" s="16" t="str">
        <x:v>TC-BOOKING-BVA-11</x:v>
      </x:c>
      <x:c r="C15" s="16" t="str">
        <x:v>processBooking</x:v>
      </x:c>
      <x:c r="D15" s="16" t="str">
        <x:v>seatIds</x:v>
      </x:c>
      <x:c r="E15" s="16" t="str">
        <x:v>/bookings/validate</x:v>
      </x:c>
      <x:c r="F15" s="16" t="str">
        <x:v>POST</x:v>
      </x:c>
      <x:c r="G15" s="16" t="str">
        <x:v>MIN + 1</x:v>
      </x:c>
      <x:c r="H15" s="16" t="str">
        <x:v>[1, 2]</x:v>
      </x:c>
      <x:c r="I15" s="16" t="str">
        <x:v>success</x:v>
      </x:c>
      <x:c r="J15" s="16" t="str">
        <x:v>Hoàn chỉnh</x:v>
      </x:c>
    </x:row>
    <x:row r="16">
      <x:c r="A16" s="16" t="n">
        <x:v>12</x:v>
      </x:c>
      <x:c r="B16" s="16" t="str">
        <x:v>TC-BOOKING-BVA-12</x:v>
      </x:c>
      <x:c r="C16" s="16" t="str">
        <x:v>getUserBookings</x:v>
      </x:c>
      <x:c r="D16" s="16" t="str">
        <x:v>userId</x:v>
      </x:c>
      <x:c r="E16" s="16" t="str">
        <x:v>/bookings/validate-user</x:v>
      </x:c>
      <x:c r="F16" s="16" t="str">
        <x:v>GET</x:v>
      </x:c>
      <x:c r="G16" s="16" t="str">
        <x:v>MIN - 2</x:v>
      </x:c>
      <x:c r="H16" s="16" t="str">
        <x:v>-1</x:v>
      </x:c>
      <x:c r="I16" s="16" t="str">
        <x:v>success</x:v>
      </x:c>
      <x:c r="J16" s="16" t="str">
        <x:v>Hoàn chỉnh</x:v>
      </x:c>
    </x:row>
    <x:row r="17">
      <x:c r="A17" s="16" t="n">
        <x:v>13</x:v>
      </x:c>
      <x:c r="B17" s="16" t="str">
        <x:v>TC-BOOKING-BVA-13</x:v>
      </x:c>
      <x:c r="C17" s="16" t="str">
        <x:v>getUserBookings</x:v>
      </x:c>
      <x:c r="D17" s="16" t="str">
        <x:v>userId</x:v>
      </x:c>
      <x:c r="E17" s="16" t="str">
        <x:v>/bookings/validate-user</x:v>
      </x:c>
      <x:c r="F17" s="16" t="str">
        <x:v>GET</x:v>
      </x:c>
      <x:c r="G17" s="16" t="str">
        <x:v>MIN - 1</x:v>
      </x:c>
      <x:c r="H17" s="16" t="str">
        <x:v>0</x:v>
      </x:c>
      <x:c r="I17" s="16" t="str">
        <x:v>success</x:v>
      </x:c>
      <x:c r="J17" s="16" t="str">
        <x:v>Hoàn chỉnh</x:v>
      </x:c>
    </x:row>
    <x:row r="18">
      <x:c r="A18" s="16" t="n">
        <x:v>14</x:v>
      </x:c>
      <x:c r="B18" s="16" t="str">
        <x:v>TC-BOOKING-BVA-14</x:v>
      </x:c>
      <x:c r="C18" s="16" t="str">
        <x:v>getUserBookings</x:v>
      </x:c>
      <x:c r="D18" s="16" t="str">
        <x:v>userId</x:v>
      </x:c>
      <x:c r="E18" s="16" t="str">
        <x:v>/bookings/validate-user</x:v>
      </x:c>
      <x:c r="F18" s="16" t="str">
        <x:v>GET</x:v>
      </x:c>
      <x:c r="G18" s="16" t="str">
        <x:v>MIN</x:v>
      </x:c>
      <x:c r="H18" s="16" t="str">
        <x:v>1</x:v>
      </x:c>
      <x:c r="I18" s="16" t="str">
        <x:v>success</x:v>
      </x:c>
      <x:c r="J18" s="16" t="str">
        <x:v>Hoàn chỉnh</x:v>
      </x:c>
    </x:row>
    <x:row r="19">
      <x:c r="A19" s="16" t="n">
        <x:v>15</x:v>
      </x:c>
      <x:c r="B19" s="16" t="str">
        <x:v>TC-BOOKING-BVA-15</x:v>
      </x:c>
      <x:c r="C19" s="16" t="str">
        <x:v>getUserBookings</x:v>
      </x:c>
      <x:c r="D19" s="16" t="str">
        <x:v>userId</x:v>
      </x:c>
      <x:c r="E19" s="16" t="str">
        <x:v>/bookings/validate-user</x:v>
      </x:c>
      <x:c r="F19" s="16" t="str">
        <x:v>GET</x:v>
      </x:c>
      <x:c r="G19" s="16" t="str">
        <x:v>MIN + 1</x:v>
      </x:c>
      <x:c r="H19" s="16" t="str">
        <x:v>2</x:v>
      </x:c>
      <x:c r="I19" s="16" t="str">
        <x:v>success</x:v>
      </x:c>
      <x:c r="J19" s="16" t="str">
        <x:v>Hoàn chỉnh</x:v>
      </x:c>
    </x:row>
    <x:row r="20">
      <x:c r="A20" s="16" t="n">
        <x:v>16</x:v>
      </x:c>
      <x:c r="B20" s="16" t="str">
        <x:v>TC-BOOKING-BVA-16</x:v>
      </x:c>
      <x:c r="C20" s="16" t="str">
        <x:v>cancelBooking</x:v>
      </x:c>
      <x:c r="D20" s="16" t="str">
        <x:v>userId</x:v>
      </x:c>
      <x:c r="E20" s="16" t="str">
        <x:v>/bookings/validate-cancel</x:v>
      </x:c>
      <x:c r="F20" s="16" t="str">
        <x:v>POST</x:v>
      </x:c>
      <x:c r="G20" s="16" t="str">
        <x:v>MIN - 2</x:v>
      </x:c>
      <x:c r="H20" s="16" t="str">
        <x:v>-1</x:v>
      </x:c>
      <x:c r="I20" s="16" t="str">
        <x:v>error</x:v>
      </x:c>
      <x:c r="J20" s="16" t="str">
        <x:v>Hoàn chỉnh</x:v>
      </x:c>
    </x:row>
    <x:row r="21">
      <x:c r="A21" s="16" t="n">
        <x:v>17</x:v>
      </x:c>
      <x:c r="B21" s="16" t="str">
        <x:v>TC-BOOKING-BVA-17</x:v>
      </x:c>
      <x:c r="C21" s="16" t="str">
        <x:v>cancelBooking</x:v>
      </x:c>
      <x:c r="D21" s="16" t="str">
        <x:v>userId</x:v>
      </x:c>
      <x:c r="E21" s="16" t="str">
        <x:v>/bookings/validate-cancel</x:v>
      </x:c>
      <x:c r="F21" s="16" t="str">
        <x:v>POST</x:v>
      </x:c>
      <x:c r="G21" s="16" t="str">
        <x:v>MIN - 1</x:v>
      </x:c>
      <x:c r="H21" s="16" t="str">
        <x:v>0</x:v>
      </x:c>
      <x:c r="I21" s="16" t="str">
        <x:v>error</x:v>
      </x:c>
      <x:c r="J21" s="16" t="str">
        <x:v>Hoàn chỉnh</x:v>
      </x:c>
    </x:row>
    <x:row r="22">
      <x:c r="A22" s="16" t="n">
        <x:v>18</x:v>
      </x:c>
      <x:c r="B22" s="16" t="str">
        <x:v>TC-BOOKING-BVA-18</x:v>
      </x:c>
      <x:c r="C22" s="16" t="str">
        <x:v>cancelBooking</x:v>
      </x:c>
      <x:c r="D22" s="16" t="str">
        <x:v>userId</x:v>
      </x:c>
      <x:c r="E22" s="16" t="str">
        <x:v>/bookings/validate-cancel</x:v>
      </x:c>
      <x:c r="F22" s="16" t="str">
        <x:v>POST</x:v>
      </x:c>
      <x:c r="G22" s="16" t="str">
        <x:v>MIN</x:v>
      </x:c>
      <x:c r="H22" s="16" t="str">
        <x:v>1</x:v>
      </x:c>
      <x:c r="I22" s="16" t="str">
        <x:v>success</x:v>
      </x:c>
      <x:c r="J22" s="16" t="str">
        <x:v>Hoàn chỉnh</x:v>
      </x:c>
    </x:row>
    <x:row r="23">
      <x:c r="A23" s="16" t="n">
        <x:v>19</x:v>
      </x:c>
      <x:c r="B23" s="16" t="str">
        <x:v>TC-BOOKING-BVA-19</x:v>
      </x:c>
      <x:c r="C23" s="16" t="str">
        <x:v>cancelBooking</x:v>
      </x:c>
      <x:c r="D23" s="16" t="str">
        <x:v>userId</x:v>
      </x:c>
      <x:c r="E23" s="16" t="str">
        <x:v>/bookings/validate-cancel</x:v>
      </x:c>
      <x:c r="F23" s="16" t="str">
        <x:v>POST</x:v>
      </x:c>
      <x:c r="G23" s="16" t="str">
        <x:v>MIN + 1</x:v>
      </x:c>
      <x:c r="H23" s="16" t="str">
        <x:v>2</x:v>
      </x:c>
      <x:c r="I23" s="16" t="str">
        <x:v>success</x:v>
      </x:c>
      <x:c r="J23" s="16" t="str">
        <x:v>Hoàn chỉnh</x:v>
      </x:c>
    </x:row>
    <x:row r="24">
      <x:c r="A24" s="16" t="n">
        <x:v>20</x:v>
      </x:c>
      <x:c r="B24" s="16" t="str">
        <x:v>TC-BOOKING-BVA-20</x:v>
      </x:c>
      <x:c r="C24" s="16" t="str">
        <x:v>cancelBooking</x:v>
      </x:c>
      <x:c r="D24" s="16" t="str">
        <x:v>bookingId</x:v>
      </x:c>
      <x:c r="E24" s="16" t="str">
        <x:v>/bookings/validate-cancel</x:v>
      </x:c>
      <x:c r="F24" s="16" t="str">
        <x:v>POST</x:v>
      </x:c>
      <x:c r="G24" s="16" t="str">
        <x:v>MIN - 2</x:v>
      </x:c>
      <x:c r="H24" s="16" t="str">
        <x:v>-1</x:v>
      </x:c>
      <x:c r="I24" s="16" t="str">
        <x:v>error</x:v>
      </x:c>
      <x:c r="J24" s="16" t="str">
        <x:v>Hoàn chỉnh</x:v>
      </x:c>
    </x:row>
    <x:row r="25">
      <x:c r="A25" s="16" t="n">
        <x:v>21</x:v>
      </x:c>
      <x:c r="B25" s="16" t="str">
        <x:v>TC-BOOKING-BVA-21</x:v>
      </x:c>
      <x:c r="C25" s="16" t="str">
        <x:v>cancelBooking</x:v>
      </x:c>
      <x:c r="D25" s="16" t="str">
        <x:v>bookingId</x:v>
      </x:c>
      <x:c r="E25" s="16" t="str">
        <x:v>/bookings/validate-cancel</x:v>
      </x:c>
      <x:c r="F25" s="16" t="str">
        <x:v>POST</x:v>
      </x:c>
      <x:c r="G25" s="16" t="str">
        <x:v>MIN - 1</x:v>
      </x:c>
      <x:c r="H25" s="16" t="str">
        <x:v>0</x:v>
      </x:c>
      <x:c r="I25" s="16" t="str">
        <x:v>error</x:v>
      </x:c>
      <x:c r="J25" s="16" t="str">
        <x:v>Hoàn chỉnh</x:v>
      </x:c>
    </x:row>
    <x:row r="26">
      <x:c r="A26" s="16" t="n">
        <x:v>22</x:v>
      </x:c>
      <x:c r="B26" s="16" t="str">
        <x:v>TC-BOOKING-BVA-22</x:v>
      </x:c>
      <x:c r="C26" s="16" t="str">
        <x:v>cancelBooking</x:v>
      </x:c>
      <x:c r="D26" s="16" t="str">
        <x:v>bookingId</x:v>
      </x:c>
      <x:c r="E26" s="16" t="str">
        <x:v>/bookings/validate-cancel</x:v>
      </x:c>
      <x:c r="F26" s="16" t="str">
        <x:v>POST</x:v>
      </x:c>
      <x:c r="G26" s="16" t="str">
        <x:v>MIN</x:v>
      </x:c>
      <x:c r="H26" s="16" t="str">
        <x:v>1</x:v>
      </x:c>
      <x:c r="I26" s="16" t="str">
        <x:v>success</x:v>
      </x:c>
      <x:c r="J26" s="16" t="str">
        <x:v>Hoàn chỉnh</x:v>
      </x:c>
    </x:row>
    <x:row r="27">
      <x:c r="A27" s="16" t="n">
        <x:v>23</x:v>
      </x:c>
      <x:c r="B27" s="16" t="str">
        <x:v>TC-BOOKING-BVA-23</x:v>
      </x:c>
      <x:c r="C27" s="16" t="str">
        <x:v>cancelBooking</x:v>
      </x:c>
      <x:c r="D27" s="16" t="str">
        <x:v>bookingId</x:v>
      </x:c>
      <x:c r="E27" s="16" t="str">
        <x:v>/bookings/validate-cancel</x:v>
      </x:c>
      <x:c r="F27" s="16" t="str">
        <x:v>POST</x:v>
      </x:c>
      <x:c r="G27" s="16" t="str">
        <x:v>MIN + 1</x:v>
      </x:c>
      <x:c r="H27" s="16" t="str">
        <x:v>2</x:v>
      </x:c>
      <x:c r="I27" s="16" t="str">
        <x:v>success</x:v>
      </x:c>
      <x:c r="J27" s="16" t="str">
        <x:v>Hoàn chỉnh</x:v>
      </x:c>
    </x:row>
    <x:row r="28">
      <x:c r="A28" s="16" t="n">
        <x:v>24</x:v>
      </x:c>
      <x:c r="B28" s="16" t="str">
        <x:v>TC-BOOKING-BVA-24</x:v>
      </x:c>
      <x:c r="C28" s="16" t="str">
        <x:v>getAdminBookingDetail</x:v>
      </x:c>
      <x:c r="D28" s="16" t="str">
        <x:v>bookingId</x:v>
      </x:c>
      <x:c r="E28" s="16" t="str">
        <x:v>/admin/bookings/validate-detail</x:v>
      </x:c>
      <x:c r="F28" s="16" t="str">
        <x:v>GET</x:v>
      </x:c>
      <x:c r="G28" s="16" t="str">
        <x:v>MIN - 2</x:v>
      </x:c>
      <x:c r="H28" s="16" t="str">
        <x:v>-1</x:v>
      </x:c>
      <x:c r="I28" s="16" t="str">
        <x:v>success</x:v>
      </x:c>
      <x:c r="J28" s="16" t="str">
        <x:v>Hoàn chỉnh</x:v>
      </x:c>
    </x:row>
    <x:row r="29">
      <x:c r="A29" s="16" t="n">
        <x:v>25</x:v>
      </x:c>
      <x:c r="B29" s="16" t="str">
        <x:v>TC-BOOKING-BVA-25</x:v>
      </x:c>
      <x:c r="C29" s="16" t="str">
        <x:v>getAdminBookingDetail</x:v>
      </x:c>
      <x:c r="D29" s="16" t="str">
        <x:v>bookingId</x:v>
      </x:c>
      <x:c r="E29" s="16" t="str">
        <x:v>/admin/bookings/validate-detail</x:v>
      </x:c>
      <x:c r="F29" s="16" t="str">
        <x:v>GET</x:v>
      </x:c>
      <x:c r="G29" s="16" t="str">
        <x:v>MIN - 1</x:v>
      </x:c>
      <x:c r="H29" s="16" t="str">
        <x:v>0</x:v>
      </x:c>
      <x:c r="I29" s="16" t="str">
        <x:v>success</x:v>
      </x:c>
      <x:c r="J29" s="16" t="str">
        <x:v>Hoàn chỉnh</x:v>
      </x:c>
    </x:row>
    <x:row r="30">
      <x:c r="A30" s="16" t="n">
        <x:v>26</x:v>
      </x:c>
      <x:c r="B30" s="16" t="str">
        <x:v>TC-BOOKING-BVA-26</x:v>
      </x:c>
      <x:c r="C30" s="16" t="str">
        <x:v>getAdminBookingDetail</x:v>
      </x:c>
      <x:c r="D30" s="16" t="str">
        <x:v>bookingId</x:v>
      </x:c>
      <x:c r="E30" s="16" t="str">
        <x:v>/admin/bookings/validate-detail</x:v>
      </x:c>
      <x:c r="F30" s="16" t="str">
        <x:v>GET</x:v>
      </x:c>
      <x:c r="G30" s="16" t="str">
        <x:v>MIN</x:v>
      </x:c>
      <x:c r="H30" s="16" t="str">
        <x:v>1</x:v>
      </x:c>
      <x:c r="I30" s="16" t="str">
        <x:v>success</x:v>
      </x:c>
      <x:c r="J30" s="16" t="str">
        <x:v>Hoàn chỉnh</x:v>
      </x:c>
    </x:row>
    <x:row r="31">
      <x:c r="A31" s="16" t="n">
        <x:v>27</x:v>
      </x:c>
      <x:c r="B31" s="16" t="str">
        <x:v>TC-BOOKING-BVA-27</x:v>
      </x:c>
      <x:c r="C31" s="16" t="str">
        <x:v>getAdminBookingDetail</x:v>
      </x:c>
      <x:c r="D31" s="16" t="str">
        <x:v>bookingId</x:v>
      </x:c>
      <x:c r="E31" s="16" t="str">
        <x:v>/admin/bookings/validate-detail</x:v>
      </x:c>
      <x:c r="F31" s="16" t="str">
        <x:v>GET</x:v>
      </x:c>
      <x:c r="G31" s="16" t="str">
        <x:v>MIN + 1</x:v>
      </x:c>
      <x:c r="H31" s="16" t="str">
        <x:v>2</x:v>
      </x:c>
      <x:c r="I31" s="16" t="str">
        <x:v>success</x:v>
      </x:c>
      <x:c r="J31" s="16" t="str">
        <x:v>Hoàn chỉnh</x:v>
      </x:c>
    </x:row>
    <x:row r="32">
      <x:c r="A32" s="16" t="n">
        <x:v>28</x:v>
      </x:c>
      <x:c r="B32" s="16" t="str">
        <x:v>TC-BOOKING-BVA-28</x:v>
      </x:c>
      <x:c r="C32" s="16" t="str">
        <x:v>updateAdminBookingStatus</x:v>
      </x:c>
      <x:c r="D32" s="16" t="str">
        <x:v>bookingId</x:v>
      </x:c>
      <x:c r="E32" s="16" t="str">
        <x:v>/admin/bookings/validate-status</x:v>
      </x:c>
      <x:c r="F32" s="16" t="str">
        <x:v>POST</x:v>
      </x:c>
      <x:c r="G32" s="16" t="str">
        <x:v>MIN - 2</x:v>
      </x:c>
      <x:c r="H32" s="16" t="str">
        <x:v>-1</x:v>
      </x:c>
      <x:c r="I32" s="16" t="str">
        <x:v>error</x:v>
      </x:c>
      <x:c r="J32" s="16" t="str">
        <x:v>Hoàn chỉnh</x:v>
      </x:c>
    </x:row>
    <x:row r="33">
      <x:c r="A33" s="16" t="n">
        <x:v>29</x:v>
      </x:c>
      <x:c r="B33" s="16" t="str">
        <x:v>TC-BOOKING-BVA-29</x:v>
      </x:c>
      <x:c r="C33" s="16" t="str">
        <x:v>updateAdminBookingStatus</x:v>
      </x:c>
      <x:c r="D33" s="16" t="str">
        <x:v>bookingId</x:v>
      </x:c>
      <x:c r="E33" s="16" t="str">
        <x:v>/admin/bookings/validate-status</x:v>
      </x:c>
      <x:c r="F33" s="16" t="str">
        <x:v>POST</x:v>
      </x:c>
      <x:c r="G33" s="16" t="str">
        <x:v>MIN - 1</x:v>
      </x:c>
      <x:c r="H33" s="16" t="str">
        <x:v>0</x:v>
      </x:c>
      <x:c r="I33" s="16" t="str">
        <x:v>error</x:v>
      </x:c>
      <x:c r="J33" s="16" t="str">
        <x:v>Hoàn chỉnh</x:v>
      </x:c>
    </x:row>
    <x:row r="34">
      <x:c r="A34" s="16" t="n">
        <x:v>30</x:v>
      </x:c>
      <x:c r="B34" s="16" t="str">
        <x:v>TC-BOOKING-BVA-30</x:v>
      </x:c>
      <x:c r="C34" s="16" t="str">
        <x:v>updateAdminBookingStatus</x:v>
      </x:c>
      <x:c r="D34" s="16" t="str">
        <x:v>bookingId</x:v>
      </x:c>
      <x:c r="E34" s="16" t="str">
        <x:v>/admin/bookings/validate-status</x:v>
      </x:c>
      <x:c r="F34" s="16" t="str">
        <x:v>POST</x:v>
      </x:c>
      <x:c r="G34" s="16" t="str">
        <x:v>MIN</x:v>
      </x:c>
      <x:c r="H34" s="16" t="str">
        <x:v>1</x:v>
      </x:c>
      <x:c r="I34" s="16" t="str">
        <x:v>success</x:v>
      </x:c>
      <x:c r="J34" s="16" t="str">
        <x:v>Hoàn chỉnh</x:v>
      </x:c>
    </x:row>
    <x:row r="35">
      <x:c r="A35" s="16" t="n">
        <x:v>31</x:v>
      </x:c>
      <x:c r="B35" s="16" t="str">
        <x:v>TC-BOOKING-BVA-31</x:v>
      </x:c>
      <x:c r="C35" s="16" t="str">
        <x:v>updateAdminBookingStatus</x:v>
      </x:c>
      <x:c r="D35" s="16" t="str">
        <x:v>bookingId</x:v>
      </x:c>
      <x:c r="E35" s="16" t="str">
        <x:v>/admin/bookings/validate-status</x:v>
      </x:c>
      <x:c r="F35" s="16" t="str">
        <x:v>POST</x:v>
      </x:c>
      <x:c r="G35" s="16" t="str">
        <x:v>MIN + 1</x:v>
      </x:c>
      <x:c r="H35" s="16" t="str">
        <x:v>2</x:v>
      </x:c>
      <x:c r="I35" s="16" t="str">
        <x:v>success</x:v>
      </x:c>
      <x:c r="J35" s="16" t="str">
        <x:v>Hoàn chỉnh</x:v>
      </x:c>
    </x:row>
    <x:row r="36">
      <x:c r="A36" s="16" t="n">
        <x:v>32</x:v>
      </x:c>
      <x:c r="B36" s="16" t="str">
        <x:v>TC-BOOKING-BVA-32</x:v>
      </x:c>
      <x:c r="C36" s="16" t="str">
        <x:v>deleteAdminBooking</x:v>
      </x:c>
      <x:c r="D36" s="16" t="str">
        <x:v>bookingId</x:v>
      </x:c>
      <x:c r="E36" s="16" t="str">
        <x:v>/admin/bookings/validate-delete</x:v>
      </x:c>
      <x:c r="F36" s="16" t="str">
        <x:v>DELETE</x:v>
      </x:c>
      <x:c r="G36" s="16" t="str">
        <x:v>MIN - 2</x:v>
      </x:c>
      <x:c r="H36" s="16" t="str">
        <x:v>-1</x:v>
      </x:c>
      <x:c r="I36" s="16" t="str">
        <x:v>error</x:v>
      </x:c>
      <x:c r="J36" s="16" t="str">
        <x:v>Hoàn chỉnh</x:v>
      </x:c>
    </x:row>
    <x:row r="37">
      <x:c r="A37" s="16" t="n">
        <x:v>33</x:v>
      </x:c>
      <x:c r="B37" s="16" t="str">
        <x:v>TC-BOOKING-BVA-33</x:v>
      </x:c>
      <x:c r="C37" s="16" t="str">
        <x:v>deleteAdminBooking</x:v>
      </x:c>
      <x:c r="D37" s="16" t="str">
        <x:v>bookingId</x:v>
      </x:c>
      <x:c r="E37" s="16" t="str">
        <x:v>/admin/bookings/validate-delete</x:v>
      </x:c>
      <x:c r="F37" s="16" t="str">
        <x:v>DELETE</x:v>
      </x:c>
      <x:c r="G37" s="16" t="str">
        <x:v>MIN - 1</x:v>
      </x:c>
      <x:c r="H37" s="16" t="str">
        <x:v>0</x:v>
      </x:c>
      <x:c r="I37" s="16" t="str">
        <x:v>error</x:v>
      </x:c>
      <x:c r="J37" s="16" t="str">
        <x:v>Hoàn chỉnh</x:v>
      </x:c>
    </x:row>
    <x:row r="38">
      <x:c r="A38" s="16" t="n">
        <x:v>34</x:v>
      </x:c>
      <x:c r="B38" s="16" t="str">
        <x:v>TC-BOOKING-BVA-34</x:v>
      </x:c>
      <x:c r="C38" s="16" t="str">
        <x:v>deleteAdminBooking</x:v>
      </x:c>
      <x:c r="D38" s="16" t="str">
        <x:v>bookingId</x:v>
      </x:c>
      <x:c r="E38" s="16" t="str">
        <x:v>/admin/bookings/validate-delete</x:v>
      </x:c>
      <x:c r="F38" s="16" t="str">
        <x:v>DELETE</x:v>
      </x:c>
      <x:c r="G38" s="16" t="str">
        <x:v>MIN</x:v>
      </x:c>
      <x:c r="H38" s="16" t="str">
        <x:v>1</x:v>
      </x:c>
      <x:c r="I38" s="16" t="str">
        <x:v>success</x:v>
      </x:c>
      <x:c r="J38" s="16" t="str">
        <x:v>Hoàn chỉnh</x:v>
      </x:c>
    </x:row>
    <x:row r="39">
      <x:c r="A39" s="16" t="n">
        <x:v>35</x:v>
      </x:c>
      <x:c r="B39" s="16" t="str">
        <x:v>TC-BOOKING-BVA-35</x:v>
      </x:c>
      <x:c r="C39" s="16" t="str">
        <x:v>deleteAdminBooking</x:v>
      </x:c>
      <x:c r="D39" s="16" t="str">
        <x:v>bookingId</x:v>
      </x:c>
      <x:c r="E39" s="16" t="str">
        <x:v>/admin/bookings/validate-delete</x:v>
      </x:c>
      <x:c r="F39" s="16" t="str">
        <x:v>DELETE</x:v>
      </x:c>
      <x:c r="G39" s="16" t="str">
        <x:v>MIN + 1</x:v>
      </x:c>
      <x:c r="H39" s="16" t="str">
        <x:v>2</x:v>
      </x:c>
      <x:c r="I39" s="16" t="str">
        <x:v>success</x:v>
      </x:c>
      <x:c r="J39" s="16" t="str">
        <x:v>Hoàn chỉnh</x:v>
      </x:c>
    </x:row>
    <x:row r="40">
      <x:c r="A40" s="16" t="n">
        <x:v>36</x:v>
      </x:c>
      <x:c r="B40" s="16" t="str">
        <x:v>TC-BOOKING-BVA-36</x:v>
      </x:c>
      <x:c r="C40" s="16" t="str">
        <x:v>getTotalSpentByUser</x:v>
      </x:c>
      <x:c r="D40" s="16" t="str">
        <x:v>userId</x:v>
      </x:c>
      <x:c r="E40" s="16" t="str">
        <x:v>/bookings/validate-total-spent</x:v>
      </x:c>
      <x:c r="F40" s="16" t="str">
        <x:v>GET</x:v>
      </x:c>
      <x:c r="G40" s="16" t="str">
        <x:v>MIN - 2</x:v>
      </x:c>
      <x:c r="H40" s="16" t="str">
        <x:v>-1</x:v>
      </x:c>
      <x:c r="I40" s="16" t="str">
        <x:v>success</x:v>
      </x:c>
      <x:c r="J40" s="16" t="str">
        <x:v>Hoàn chỉnh</x:v>
      </x:c>
    </x:row>
    <x:row r="41">
      <x:c r="A41" s="16" t="n">
        <x:v>37</x:v>
      </x:c>
      <x:c r="B41" s="16" t="str">
        <x:v>TC-BOOKING-BVA-37</x:v>
      </x:c>
      <x:c r="C41" s="16" t="str">
        <x:v>getTotalSpentByUser</x:v>
      </x:c>
      <x:c r="D41" s="16" t="str">
        <x:v>userId</x:v>
      </x:c>
      <x:c r="E41" s="16" t="str">
        <x:v>/bookings/validate-total-spent</x:v>
      </x:c>
      <x:c r="F41" s="16" t="str">
        <x:v>GET</x:v>
      </x:c>
      <x:c r="G41" s="16" t="str">
        <x:v>MIN - 1</x:v>
      </x:c>
      <x:c r="H41" s="16" t="str">
        <x:v>0</x:v>
      </x:c>
      <x:c r="I41" s="16" t="str">
        <x:v>success</x:v>
      </x:c>
      <x:c r="J41" s="16" t="str">
        <x:v>Hoàn chỉnh</x:v>
      </x:c>
    </x:row>
    <x:row r="42">
      <x:c r="A42" s="16" t="n">
        <x:v>38</x:v>
      </x:c>
      <x:c r="B42" s="16" t="str">
        <x:v>TC-BOOKING-BVA-38</x:v>
      </x:c>
      <x:c r="C42" s="16" t="str">
        <x:v>getTotalSpentByUser</x:v>
      </x:c>
      <x:c r="D42" s="16" t="str">
        <x:v>userId</x:v>
      </x:c>
      <x:c r="E42" s="16" t="str">
        <x:v>/bookings/validate-total-spent</x:v>
      </x:c>
      <x:c r="F42" s="16" t="str">
        <x:v>GET</x:v>
      </x:c>
      <x:c r="G42" s="16" t="str">
        <x:v>MIN</x:v>
      </x:c>
      <x:c r="H42" s="16" t="str">
        <x:v>1</x:v>
      </x:c>
      <x:c r="I42" s="16" t="str">
        <x:v>success</x:v>
      </x:c>
      <x:c r="J42" s="16" t="str">
        <x:v>Hoàn chỉnh</x:v>
      </x:c>
    </x:row>
    <x:row r="43">
      <x:c r="A43" s="16" t="n">
        <x:v>39</x:v>
      </x:c>
      <x:c r="B43" s="16" t="str">
        <x:v>TC-BOOKING-BVA-39</x:v>
      </x:c>
      <x:c r="C43" s="16" t="str">
        <x:v>getTotalSpentByUser</x:v>
      </x:c>
      <x:c r="D43" s="16" t="str">
        <x:v>userId</x:v>
      </x:c>
      <x:c r="E43" s="16" t="str">
        <x:v>/bookings/validate-total-spent</x:v>
      </x:c>
      <x:c r="F43" s="16" t="str">
        <x:v>GET</x:v>
      </x:c>
      <x:c r="G43" s="16" t="str">
        <x:v>MIN + 1</x:v>
      </x:c>
      <x:c r="H43" s="16" t="str">
        <x:v>2</x:v>
      </x:c>
      <x:c r="I43" s="16" t="str">
        <x:v>success</x:v>
      </x:c>
      <x:c r="J43" s="16" t="str">
        <x:v>Hoàn chỉnh</x:v>
      </x:c>
    </x:row>
    <x:row r="46">
      <x:c r="A46" s="84" t="str">
        <x:v>Service Method</x:v>
      </x:c>
      <x:c r="B46" s="84" t="str">
        <x:v>Số test case</x:v>
      </x:c>
      <x:c r="C46" s="84" t="str">
        <x:v>Success</x:v>
      </x:c>
      <x:c r="D46" s="84" t="str">
        <x:v>Error</x:v>
      </x:c>
      <x:c r="E46" s="84" t="str">
        <x:v>Endpoint</x:v>
      </x:c>
    </x:row>
    <x:row r="47">
      <x:c r="A47" s="16" t="str">
        <x:v>processBooking</x:v>
      </x:c>
      <x:c r="B47" s="16" t="n">
        <x:f>COUNTIF($C$5:$C$43,A47)</x:f>
        <x:v>11</x:v>
      </x:c>
      <x:c r="C47" s="16" t="n">
        <x:f>COUNTIFS($C$5:$C$43,A47,$I$5:$I$43,"success")</x:f>
        <x:v>6</x:v>
      </x:c>
      <x:c r="D47" s="16" t="n">
        <x:f>COUNTIFS($C$5:$C$43,A47,$I$5:$I$43,"error")</x:f>
        <x:v>5</x:v>
      </x:c>
      <x:c r="E47" s="16" t="str">
        <x:v>/bookings/validate</x:v>
      </x:c>
    </x:row>
    <x:row r="48">
      <x:c r="A48" s="16" t="str">
        <x:v>getUserBookings</x:v>
      </x:c>
      <x:c r="B48" s="16" t="n">
        <x:f>COUNTIF($C$5:$C$43,A48)</x:f>
        <x:v>4</x:v>
      </x:c>
      <x:c r="C48" s="16" t="n">
        <x:f>COUNTIFS($C$5:$C$43,A48,$I$5:$I$43,"success")</x:f>
        <x:v>4</x:v>
      </x:c>
      <x:c r="D48" s="16" t="n">
        <x:f>COUNTIFS($C$5:$C$43,A48,$I$5:$I$43,"error")</x:f>
        <x:v>0</x:v>
      </x:c>
      <x:c r="E48" s="16" t="str">
        <x:v>/bookings/validate-user</x:v>
      </x:c>
    </x:row>
    <x:row r="49">
      <x:c r="A49" s="16" t="str">
        <x:v>cancelBooking</x:v>
      </x:c>
      <x:c r="B49" s="16" t="n">
        <x:f>COUNTIF($C$5:$C$43,A49)</x:f>
        <x:v>8</x:v>
      </x:c>
      <x:c r="C49" s="16" t="n">
        <x:f>COUNTIFS($C$5:$C$43,A49,$I$5:$I$43,"success")</x:f>
        <x:v>4</x:v>
      </x:c>
      <x:c r="D49" s="16" t="n">
        <x:f>COUNTIFS($C$5:$C$43,A49,$I$5:$I$43,"error")</x:f>
        <x:v>4</x:v>
      </x:c>
      <x:c r="E49" s="16" t="str">
        <x:v>/bookings/validate-cancel</x:v>
      </x:c>
    </x:row>
    <x:row r="50">
      <x:c r="A50" s="16" t="str">
        <x:v>getAdminBookingDetail</x:v>
      </x:c>
      <x:c r="B50" s="16" t="n">
        <x:f>COUNTIF($C$5:$C$43,A50)</x:f>
        <x:v>4</x:v>
      </x:c>
      <x:c r="C50" s="16" t="n">
        <x:f>COUNTIFS($C$5:$C$43,A50,$I$5:$I$43,"success")</x:f>
        <x:v>4</x:v>
      </x:c>
      <x:c r="D50" s="16" t="n">
        <x:f>COUNTIFS($C$5:$C$43,A50,$I$5:$I$43,"error")</x:f>
        <x:v>0</x:v>
      </x:c>
      <x:c r="E50" s="16" t="str">
        <x:v>/admin/bookings/validate-detail</x:v>
      </x:c>
    </x:row>
    <x:row r="51">
      <x:c r="A51" s="16" t="str">
        <x:v>updateAdminBookingStatus</x:v>
      </x:c>
      <x:c r="B51" s="16" t="n">
        <x:f>COUNTIF($C$5:$C$43,A51)</x:f>
        <x:v>4</x:v>
      </x:c>
      <x:c r="C51" s="16" t="n">
        <x:f>COUNTIFS($C$5:$C$43,A51,$I$5:$I$43,"success")</x:f>
        <x:v>2</x:v>
      </x:c>
      <x:c r="D51" s="16" t="n">
        <x:f>COUNTIFS($C$5:$C$43,A51,$I$5:$I$43,"error")</x:f>
        <x:v>2</x:v>
      </x:c>
      <x:c r="E51" s="16" t="str">
        <x:v>/admin/bookings/validate-status</x:v>
      </x:c>
    </x:row>
    <x:row r="52">
      <x:c r="A52" s="16" t="str">
        <x:v>deleteAdminBooking</x:v>
      </x:c>
      <x:c r="B52" s="16" t="n">
        <x:f>COUNTIF($C$5:$C$43,A52)</x:f>
        <x:v>4</x:v>
      </x:c>
      <x:c r="C52" s="16" t="n">
        <x:f>COUNTIFS($C$5:$C$43,A52,$I$5:$I$43,"success")</x:f>
        <x:v>2</x:v>
      </x:c>
      <x:c r="D52" s="16" t="n">
        <x:f>COUNTIFS($C$5:$C$43,A52,$I$5:$I$43,"error")</x:f>
        <x:v>2</x:v>
      </x:c>
      <x:c r="E52" s="16" t="str">
        <x:v>/admin/bookings/validate-delete</x:v>
      </x:c>
    </x:row>
    <x:row r="53">
      <x:c r="A53" s="16" t="str">
        <x:v>getTotalSpentByUser</x:v>
      </x:c>
      <x:c r="B53" s="16" t="n">
        <x:f>COUNTIF($C$5:$C$43,A53)</x:f>
        <x:v>4</x:v>
      </x:c>
      <x:c r="C53" s="16" t="n">
        <x:f>COUNTIFS($C$5:$C$43,A53,$I$5:$I$43,"success")</x:f>
        <x:v>4</x:v>
      </x:c>
      <x:c r="D53" s="16" t="n">
        <x:f>COUNTIFS($C$5:$C$43,A53,$I$5:$I$43,"error")</x:f>
        <x:v>0</x:v>
      </x:c>
      <x:c r="E53" s="16" t="str">
        <x:v>/bookings/validate-total-spent</x:v>
      </x:c>
    </x:row>
  </x:sheetData>
  <x:mergeCells>
    <x:mergeCell ref="A1:J1"/>
    <x:mergeCell ref="A2:J2"/>
  </x:mergeCells>
  <x:conditionalFormatting sqref="I5:I43">
    <x:cfRule type="expression" dxfId="4" priority="1">
      <x:formula>I5="success"</x:formula>
    </x:cfRule>
    <x:cfRule type="expression" dxfId="5" priority="2">
      <x:formula>I5="error"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2c69972c67c147f4"/>
    <x:tablePart xmlns:r="http://schemas.openxmlformats.org/officeDocument/2006/relationships" r:id="R28bf754e0ee244c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32" hidden="0" customWidth="1"/>
    <x:col min="3" max="3" width="72" hidden="0" customWidth="1"/>
    <x:col min="4" max="4" width="62" hidden="0" customWidth="1"/>
  </x:cols>
  <x:sheetData>
    <x:row r="1">
      <x:c r="A1" s="89" t="str">
        <x:v>NGUỒN DỮ LIỆU TỔNG HỢP</x:v>
      </x:c>
      <x:c r="B1" s="89"/>
      <x:c r="C1" s="89"/>
      <x:c r="D1" s="89"/>
    </x:row>
    <x:row r="3">
      <x:c r="A3" s="20" t="str">
        <x:v>STT</x:v>
      </x:c>
      <x:c r="B3" s="20" t="str">
        <x:v>Nguồn</x:v>
      </x:c>
      <x:c r="C3" s="20" t="str">
        <x:v>URL</x:v>
      </x:c>
      <x:c r="D3" s="20" t="str">
        <x:v>Mô tả</x:v>
      </x:c>
    </x:row>
    <x:row r="4">
      <x:c r="A4" s="16" t="n">
        <x:v>1</x:v>
      </x:c>
      <x:c r="B4" s="16" t="str">
        <x:v>tests/bva/bva-cases.js</x:v>
      </x:c>
      <x:c r="C4" s="92" t="str">
        <x:v>https://github.com/TranHuuLoiDev/KCPM/blob/main/tests/bva/bva-cases.js</x:v>
      </x:c>
      <x:c r="D4" s="16" t="str">
        <x:v>Nguồn chính của toàn bộ test case BVA. Main hiện có thêm module Booking với TC-BOOKING-BVA-01..39.</x:v>
      </x:c>
    </x:row>
    <x:row r="5">
      <x:c r="A5" s="16" t="n">
        <x:v>2</x:v>
      </x:c>
      <x:c r="B5" s="16" t="str">
        <x:v>tests/bva/generate-postman.js</x:v>
      </x:c>
      <x:c r="C5" s="92" t="str">
        <x:v>https://github.com/TranHuuLoiDev/KCPM/blob/main/tests/bva/generate-postman.js</x:v>
      </x:c>
      <x:c r="D5" s="16" t="str">
        <x:v>Nguồn ánh xạ serviceMethod của Booking sang HTTP method và endpoint.</x:v>
      </x:c>
    </x:row>
    <x:row r="6">
      <x:c r="A6" s="16" t="n">
        <x:v>3</x:v>
      </x:c>
      <x:c r="B6" s="16" t="str">
        <x:v>Repository KCPM</x:v>
      </x:c>
      <x:c r="C6" s="92" t="str">
        <x:v>https://github.com/TranHuuLoiDev/KCPM</x:v>
      </x:c>
      <x:c r="D6" s="16" t="str">
        <x:v>Repository dự án Movie Ticket Booking.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078b9a342f3c4e81"/>
  </x:tableParts>
</x:worksheet>
</file>