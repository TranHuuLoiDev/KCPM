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8a63c7c91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b51f4f16564e4fc7"/>
    <x:sheet xmlns:r="http://schemas.openxmlformats.org/officeDocument/2006/relationships" name="Decision Coverage" sheetId="2" r:id="R23566fa2607041e8"/>
    <x:sheet xmlns:r="http://schemas.openxmlformats.org/officeDocument/2006/relationships" name="Path Coverage" sheetId="3" r:id="R875dff87666a4e71"/>
    <x:sheet xmlns:r="http://schemas.openxmlformats.org/officeDocument/2006/relationships" name="BVA Cases" sheetId="4" r:id="R19f1408c40be4e8a"/>
    <x:sheet xmlns:r="http://schemas.openxmlformats.org/officeDocument/2006/relationships" name="Phương pháp &amp; Sonar" sheetId="5" r:id="R769ab3636c92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8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6"/>
      <x:color rgb="FF2E7D32"/>
      <x:name val="Carlito"/>
    </x:font>
    <x:font>
      <x:b/>
      <x:sz val="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D9E1F2"/>
      </x:patternFill>
    </x:fill>
    <x:fill>
      <x:patternFill patternType="solid">
        <x:fgColor rgb="FFF5F9FD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4" fillId="6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20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horizontal="center" wrapText="1"/>
    </x:xf>
    <x:xf numFmtId="200" fontId="0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 applyAlignment="1">
      <x:alignment horizontal="center" wrapText="1"/>
    </x:xf>
    <x:xf numFmtId="200" fontId="0" fillId="8" borderId="1" xfId="0" applyNumberFormat="1" applyFont="1" applyFill="1" applyBorder="1" applyAlignment="1">
      <x:alignment horizontal="center" wrapText="1"/>
    </x:xf>
    <x:xf numFmtId="200" fontId="0" fillId="6" borderId="0" xfId="0" applyNumberFormat="1" applyFont="1" applyFill="1" applyBorder="1" applyAlignment="1">
      <x:alignment horizontal="center" wrapText="1"/>
    </x:xf>
    <x:xf numFmtId="200" fontId="6" fillId="6" borderId="0" xfId="0" applyNumberFormat="1" applyFont="1" applyFill="1" applyBorder="1" applyAlignment="1">
      <x:alignment horizontal="center" wrapText="1"/>
    </x:xf>
    <x:xf numFmtId="200" fontId="0" fillId="6" borderId="1" xfId="0" applyNumberFormat="1" applyFont="1" applyFill="1" applyBorder="1" applyAlignment="1">
      <x:alignment horizontal="center" wrapText="1"/>
    </x:xf>
    <x:xf numFmtId="200" fontId="6" fillId="6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dcd50c30b4cfe" /><Relationship Type="http://schemas.openxmlformats.org/officeDocument/2006/relationships/theme" Target="/xl/theme/theme1.xml" Id="Rb6d447c6f558488f" /><Relationship Type="http://schemas.openxmlformats.org/officeDocument/2006/relationships/sharedStrings" Target="/xl/sharedStrings.xml" Id="R517c061d9fd44313" /><Relationship Type="http://schemas.openxmlformats.org/officeDocument/2006/relationships/worksheet" Target="/xl/worksheets/sheet1.xml" Id="Rb51f4f16564e4fc7" /><Relationship Type="http://schemas.openxmlformats.org/officeDocument/2006/relationships/worksheet" Target="/xl/worksheets/sheet2.xml" Id="R23566fa2607041e8" /><Relationship Type="http://schemas.openxmlformats.org/officeDocument/2006/relationships/worksheet" Target="/xl/worksheets/sheet3.xml" Id="R875dff87666a4e71" /><Relationship Type="http://schemas.openxmlformats.org/officeDocument/2006/relationships/worksheet" Target="/xl/worksheets/sheet4.xml" Id="R19f1408c40be4e8a" /><Relationship Type="http://schemas.openxmlformats.org/officeDocument/2006/relationships/worksheet" Target="/xl/worksheets/sheet5.xml" Id="R769ab3636c9244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426c6e0ba344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Logic/Decision Coverage theo module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Covered Branch Outcomes</c:v>
          </c:tx>
          <c:cat>
            <c:strRef>
              <c:f>'Tổng quan'!$A$11:$A$13</c:f>
              <c:strCache>
                <c:ptCount val="0"/>
              </c:strCache>
            </c:strRef>
          </c:cat>
          <c:val>
            <c:numRef>
              <c:f>'Tổng quan'!$B$11:$B$13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Branch Outcomes</c:v>
          </c:tx>
          <c:cat>
            <c:strRef>
              <c:f>'Tổng quan'!$A$11:$A$13</c:f>
              <c:strCache>
                <c:ptCount val="0"/>
              </c:strCache>
            </c:strRef>
          </c:cat>
          <c:val>
            <c:numRef>
              <c:f>'Tổng quan'!$C$11:$C$13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Decision Coverage</c:v>
          </c:tx>
          <c:cat>
            <c:strRef>
              <c:f>'Tổng quan'!$A$11:$A$13</c:f>
              <c:strCache>
                <c:ptCount val="0"/>
              </c:strCache>
            </c:strRef>
          </c:cat>
          <c:val>
            <c:numRef>
              <c:f>'Tổng quan'!$D$11:$D$13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426c6e0ba344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9" name="ModuleCoverageSummary" displayName="ModuleCoverageSummary" ref="A10:F13" headerRowCount="1" totalsRowCount="0" totalsRowShown="0">
  <x:tableColumns count="6">
    <x:tableColumn id="1" name="Module"/>
    <x:tableColumn id="2" name="Covered Branch Outcomes"/>
    <x:tableColumn id="3" name="Total Branch Outcomes"/>
    <x:tableColumn id="4" name="Decision Coverage"/>
    <x:tableColumn id="5" name="Path Coverage"/>
    <x:tableColumn id="6" name="BVA Case Co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ecisionCoverageTable" displayName="DecisionCoverageTable" ref="A4:J16" headerRowCount="1" totalsRowCount="0" totalsRowShown="0">
  <x:tableColumns count="10">
    <x:tableColumn id="1" name="Module"/>
    <x:tableColumn id="2" name="Decision ID"/>
    <x:tableColumn id="3" name="Function/Area"/>
    <x:tableColumn id="4" name="Decision logic"/>
    <x:tableColumn id="5" name="Total outcomes"/>
    <x:tableColumn id="6" name="Covered outcomes"/>
    <x:tableColumn id="7" name="True covered"/>
    <x:tableColumn id="8" name="False covered"/>
    <x:tableColumn id="9" name="BVA test kích hoạt"/>
    <x:tableColumn id="10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ecisionSummaryTable" displayName="DecisionSummaryTable" ref="A19:F23" headerRowCount="1" totalsRowCount="0" totalsRowShown="0">
  <x:tableColumns count="6">
    <x:tableColumn id="1" name="Module"/>
    <x:tableColumn id="2" name="Decision count"/>
    <x:tableColumn id="3" name="Total branch outcomes"/>
    <x:tableColumn id="4" name="Covered outcomes"/>
    <x:tableColumn id="5" name="Coverage"/>
    <x:tableColumn id="6" name="Kết luậ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athCoverageTable" displayName="PathCoverageTable" ref="A4:E16" headerRowCount="1" totalsRowCount="0" totalsRowShown="0">
  <x:tableColumns count="5">
    <x:tableColumn id="1" name="Module"/>
    <x:tableColumn id="2" name="Path ID"/>
    <x:tableColumn id="3" name="Đường logic"/>
    <x:tableColumn id="4" name="Covered?"/>
    <x:tableColumn id="5" name="Test c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athSummaryTable" displayName="PathSummaryTable" ref="A19:E23" headerRowCount="1" totalsRowCount="0" totalsRowShown="0">
  <x:tableColumns count="5">
    <x:tableColumn id="1" name="Module"/>
    <x:tableColumn id="2" name="Total paths"/>
    <x:tableColumn id="3" name="Covered paths"/>
    <x:tableColumn id="4" name="Coverage"/>
    <x:tableColumn id="5" name="Kết quả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BVACasesTable" displayName="BVACasesTable" ref="A3:F17" headerRowCount="1" totalsRowCount="0" totalsRowShown="0">
  <x:tableColumns count="6">
    <x:tableColumn id="1" name="Module"/>
    <x:tableColumn id="2" name="Test Case ID"/>
    <x:tableColumn id="3" name="Field"/>
    <x:tableColumn id="4" name="Input"/>
    <x:tableColumn id="5" name="Boundary Position"/>
    <x:tableColumn id="6" name="Expect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BVACaseSummaryTable" displayName="BVACaseSummaryTable" ref="A20:D24" headerRowCount="1" totalsRowCount="0" totalsRowShown="0">
  <x:tableColumns count="4">
    <x:tableColumn id="1" name="Module"/>
    <x:tableColumn id="2" name="Designed BVA Cases"/>
    <x:tableColumn id="3" name="Executed/Available Cases"/>
    <x:tableColumn id="4" name="Case Coverag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MethodTable" displayName="MethodTable" ref="A3:B8" headerRowCount="1" totalsRowCount="0" totalsRowShown="0">
  <x:tableColumns count="2">
    <x:tableColumn id="1" name="Nội dung"/>
    <x:tableColumn id="2" name="Mô tả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SourcesTable" displayName="SourcesTable" ref="A11:F17" headerRowCount="1" totalsRowCount="0" totalsRowShown="0">
  <x:tableColumns count="6">
    <x:tableColumn id="1" name="Nguồn"/>
    <x:tableColumn id="2" name="URL"/>
    <x:tableColumn id="3" name="Dùng để"/>
    <x:tableColumn id="4" name="Liên hệ Sonar"/>
    <x:tableColumn id="5" name="Ghi chú"/>
    <x:tableColumn id="6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32d186f3054ac8" /><Relationship Type="http://schemas.openxmlformats.org/officeDocument/2006/relationships/table" Target="/xl/tables/table1.xml" Id="R1b9923d7b66643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1e04dd9c234c84" /><Relationship Type="http://schemas.openxmlformats.org/officeDocument/2006/relationships/table" Target="/xl/tables/table3.xml" Id="Ra3d4d79d4f0844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9044d6b82e4f427e" /><Relationship Type="http://schemas.openxmlformats.org/officeDocument/2006/relationships/table" Target="/xl/tables/table5.xml" Id="R6bca9df8915f4c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6bff97b56a6e4c33" /><Relationship Type="http://schemas.openxmlformats.org/officeDocument/2006/relationships/table" Target="/xl/tables/table7.xml" Id="R02e7020f915e4d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4411c50cb5f74f14" /><Relationship Type="http://schemas.openxmlformats.org/officeDocument/2006/relationships/table" Target="/xl/tables/table9.xml" Id="Rd3a1ee19e7ca4142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52" t="str">
        <x:v>WHITE-BOX BVA COVERAGE — SEAT + ROOM + THEATRE</x:v>
      </x:c>
      <x:c r="B1" s="52"/>
      <x:c r="C1" s="52"/>
      <x:c r="D1" s="52"/>
      <x:c r="E1" s="52"/>
      <x:c r="F1" s="52"/>
      <x:c r="G1" s="52"/>
      <x:c r="H1" s="52"/>
    </x:row>
    <x:row r="2" ht="40" customHeight="1">
      <x:c r="A2" s="56" t="str">
        <x:v>Mục đích: trả lời “Bộ BVA Seat + Room + Theatre đạt độ phủ bao nhiêu %?” — mô hình white-box thủ công mức logic/decision, KHÔNG phải branch coverage runtime do Xdebug/Sonar đo.</x:v>
      </x:c>
      <x:c r="B2" s="56"/>
      <x:c r="C2" s="56"/>
      <x:c r="D2" s="56"/>
      <x:c r="E2" s="56"/>
      <x:c r="F2" s="56"/>
      <x:c r="G2" s="56"/>
      <x:c r="H2" s="56"/>
    </x:row>
    <x:row r="4">
      <x:c r="A4" s="60" t="str">
        <x:v>Chỉ số</x:v>
      </x:c>
      <x:c r="B4" s="60" t="str">
        <x:v>Covered / Total</x:v>
      </x:c>
      <x:c r="C4" s="60" t="str">
        <x:v>Coverage</x:v>
      </x:c>
      <x:c r="E4" s="82" t="str">
        <x:v>KẾT LUẬN</x:v>
      </x:c>
      <x:c r="F4" s="82"/>
      <x:c r="G4" s="82"/>
      <x:c r="H4" s="82"/>
    </x:row>
    <x:row r="5">
      <x:c r="A5" s="66" t="str">
        <x:v>Logic/Decision branch outcomes</x:v>
      </x:c>
      <x:c r="B5" s="72" t="str">
        <x:f>'Decision Coverage'!D23&amp;" / "&amp;'Decision Coverage'!C23</x:f>
        <x:v>18 / 24</x:v>
      </x:c>
      <x:c r="C5" s="77" t="n">
        <x:f>'Decision Coverage'!E23</x:f>
        <x:v>0.75</x:v>
      </x:c>
      <x:c r="E5" s="89" t="str">
        <x:f>"Bộ BVA Seat + Room + Theatre đạt "&amp;TEXT(C5,"0.00%")&amp;" độ phủ logic/decision = "&amp;B5&amp;". "&amp;"Path coverage thủ công = "&amp;TEXT(C6,"0.00%")&amp;". "&amp;"BVA case coverage = "&amp;TEXT(C7,"0.00%")&amp;"."</x:f>
        <x:v>Bộ BVA Seat + Room + Theatre đạt 75.00% độ phủ logic/decision = 18 / 24. Path coverage thủ công = 50.00%. BVA case coverage = 100.00%.</x:v>
      </x:c>
      <x:c r="F5" s="89"/>
      <x:c r="G5" s="89"/>
      <x:c r="H5" s="89"/>
    </x:row>
    <x:row r="6">
      <x:c r="A6" s="66" t="str">
        <x:v>Independent validation paths</x:v>
      </x:c>
      <x:c r="B6" s="72" t="str">
        <x:f>'Path Coverage'!C23&amp;" / "&amp;'Path Coverage'!B23</x:f>
        <x:v>6 / 12</x:v>
      </x:c>
      <x:c r="C6" s="73" t="n">
        <x:f>'Path Coverage'!D23</x:f>
        <x:v>0.5</x:v>
      </x:c>
      <x:c r="E6" s="89"/>
      <x:c r="F6" s="89"/>
      <x:c r="G6" s="89"/>
      <x:c r="H6" s="89"/>
    </x:row>
    <x:row r="7">
      <x:c r="A7" s="66" t="str">
        <x:v>Designed BVA cases</x:v>
      </x:c>
      <x:c r="B7" s="72" t="str">
        <x:f>'BVA Cases'!C24&amp;" / "&amp;'BVA Cases'!B24</x:f>
        <x:v>14 / 14</x:v>
      </x:c>
      <x:c r="C7" s="73" t="n">
        <x:f>'BVA Cases'!D24</x:f>
        <x:v>1</x:v>
      </x:c>
      <x:c r="E7" s="89"/>
      <x:c r="F7" s="89"/>
      <x:c r="G7" s="89"/>
      <x:c r="H7" s="89"/>
    </x:row>
    <x:row r="10">
      <x:c r="A10" s="40" t="str">
        <x:v>Module</x:v>
      </x:c>
      <x:c r="B10" s="40" t="str">
        <x:v>Covered Branch Outcomes</x:v>
      </x:c>
      <x:c r="C10" s="40" t="str">
        <x:v>Total Branch Outcomes</x:v>
      </x:c>
      <x:c r="D10" s="40" t="str">
        <x:v>Decision Coverage</x:v>
      </x:c>
      <x:c r="E10" s="40" t="str">
        <x:v>Path Coverage</x:v>
      </x:c>
      <x:c r="F10" s="40" t="str">
        <x:v>BVA Case Coverage</x:v>
      </x:c>
    </x:row>
    <x:row r="11">
      <x:c r="A11" t="str">
        <x:v>Seat</x:v>
      </x:c>
      <x:c r="B11" t="n">
        <x:f>'Decision Coverage'!D20</x:f>
        <x:v>7</x:v>
      </x:c>
      <x:c r="C11" t="n">
        <x:f>'Decision Coverage'!C20</x:f>
        <x:v>10</x:v>
      </x:c>
      <x:c r="D11" s="22" t="n">
        <x:f>'Decision Coverage'!E20</x:f>
        <x:v>0.7</x:v>
      </x:c>
      <x:c r="E11" s="22" t="n">
        <x:f>'Path Coverage'!D20</x:f>
        <x:v>0.4</x:v>
      </x:c>
      <x:c r="F11" s="22" t="n">
        <x:f>'BVA Cases'!D21</x:f>
        <x:v>1</x:v>
      </x:c>
    </x:row>
    <x:row r="12">
      <x:c r="A12" t="str">
        <x:v>Room</x:v>
      </x:c>
      <x:c r="B12" t="n">
        <x:f>'Decision Coverage'!D21</x:f>
        <x:v>6</x:v>
      </x:c>
      <x:c r="C12" t="n">
        <x:f>'Decision Coverage'!C21</x:f>
        <x:v>8</x:v>
      </x:c>
      <x:c r="D12" s="22" t="n">
        <x:f>'Decision Coverage'!E21</x:f>
        <x:v>0.75</x:v>
      </x:c>
      <x:c r="E12" s="22" t="n">
        <x:f>'Path Coverage'!D21</x:f>
        <x:v>0.5</x:v>
      </x:c>
      <x:c r="F12" s="22" t="n">
        <x:f>'BVA Cases'!D22</x:f>
        <x:v>1</x:v>
      </x:c>
    </x:row>
    <x:row r="13">
      <x:c r="A13" t="str">
        <x:v>Theatre</x:v>
      </x:c>
      <x:c r="B13" t="n">
        <x:f>'Decision Coverage'!D22</x:f>
        <x:v>5</x:v>
      </x:c>
      <x:c r="C13" t="n">
        <x:f>'Decision Coverage'!C22</x:f>
        <x:v>6</x:v>
      </x:c>
      <x:c r="D13" s="22" t="n">
        <x:f>'Decision Coverage'!E22</x:f>
        <x:v>0.8333333333333334</x:v>
      </x:c>
      <x:c r="E13" s="22" t="n">
        <x:f>'Path Coverage'!D22</x:f>
        <x:v>0.6666666666666666</x:v>
      </x:c>
      <x:c r="F13" s="22" t="n">
        <x:f>'BVA Cases'!D23</x:f>
        <x:v>1</x:v>
      </x:c>
    </x:row>
    <x:row r="16">
      <x:c r="A16" s="45" t="str">
        <x:v>Cách đọc kết quả</x:v>
      </x:c>
      <x:c r="B16" s="45"/>
      <x:c r="C16" s="45"/>
      <x:c r="D16" s="45"/>
      <x:c r="E16" s="45"/>
      <x:c r="F16" s="45"/>
    </x:row>
    <x:row r="17">
      <x:c r="A17" s="48" t="str">
        <x:v>Kết quả chính là 75% vì 18/24 branch outcome của các decision validation được bộ BVA chạm tới. Seat đạt 70%, Room 75%, Theatre 83.33%. Các BVA hiện tập trung vào seat_number, total_seats và total_screens, nên các nhánh room_id, seat_row, seat_type_id, name, theatre_id... chưa được BVA kích hoạt. 100% BVA Case Coverage chỉ nghĩa là toàn bộ case BVA đã thiết kế cho 3 module đều có trong bộ test.</x:v>
      </x:c>
      <x:c r="B17" s="48"/>
      <x:c r="C17" s="48"/>
      <x:c r="D17" s="48"/>
      <x:c r="E17" s="48"/>
      <x:c r="F17" s="48"/>
    </x:row>
    <x:row r="18">
      <x:c r="A18" s="48"/>
      <x:c r="B18" s="48"/>
      <x:c r="C18" s="48"/>
      <x:c r="D18" s="48"/>
      <x:c r="E18" s="48"/>
      <x:c r="F18" s="48"/>
    </x:row>
    <x:row r="19">
      <x:c r="A19" s="48"/>
      <x:c r="B19" s="48"/>
      <x:c r="C19" s="48"/>
      <x:c r="D19" s="48"/>
      <x:c r="E19" s="48"/>
      <x:c r="F19" s="48"/>
    </x:row>
    <x:row r="20">
      <x:c r="A20" s="48"/>
      <x:c r="B20" s="48"/>
      <x:c r="C20" s="48"/>
      <x:c r="D20" s="48"/>
      <x:c r="E20" s="48"/>
      <x:c r="F20" s="48"/>
    </x:row>
    <x:row r="21">
      <x:c r="A21" s="48"/>
      <x:c r="B21" s="48"/>
      <x:c r="C21" s="48"/>
      <x:c r="D21" s="48"/>
      <x:c r="E21" s="48"/>
      <x:c r="F21" s="48"/>
    </x:row>
  </x:sheetData>
  <x:mergeCells>
    <x:mergeCell ref="A1:H1"/>
    <x:mergeCell ref="A2:H2"/>
    <x:mergeCell ref="E4:H4"/>
    <x:mergeCell ref="E5:H7"/>
    <x:mergeCell ref="A16:F16"/>
    <x:mergeCell ref="A17:F21"/>
  </x:mergeCells>
  <x:pageMargins left="0.7" right="0.7" top="0.75" bottom="0.75" header="0.3" footer="0.3"/>
  <x:drawing xmlns:r="http://schemas.openxmlformats.org/officeDocument/2006/relationships" r:id="R8632d186f3054ac8"/>
  <x:tableParts count="1">
    <x:tablePart xmlns:r="http://schemas.openxmlformats.org/officeDocument/2006/relationships" r:id="R1b9923d7b66643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38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38" hidden="0" customWidth="1"/>
    <x:col min="10" max="10" width="34" hidden="0" customWidth="1"/>
  </x:cols>
  <x:sheetData>
    <x:row r="1">
      <x:c r="A1" s="4" t="str">
        <x:v>MA TRẬN LOGIC / DECISION COVERAGE THỦ CÔNG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0" t="str">
        <x:v>Mỗi decision dạng if được tính 2 kết quả logic: True và False. Coverage = số branch outcome được BVA kích hoạt / tổng branch outcome.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Module</x:v>
      </x:c>
      <x:c r="B4" s="18" t="str">
        <x:v>Decision ID</x:v>
      </x:c>
      <x:c r="C4" s="18" t="str">
        <x:v>Function/Area</x:v>
      </x:c>
      <x:c r="D4" s="18" t="str">
        <x:v>Decision logic</x:v>
      </x:c>
      <x:c r="E4" s="18" t="str">
        <x:v>Total outcomes</x:v>
      </x:c>
      <x:c r="F4" s="18" t="str">
        <x:v>Covered outcomes</x:v>
      </x:c>
      <x:c r="G4" s="18" t="str">
        <x:v>True covered</x:v>
      </x:c>
      <x:c r="H4" s="18" t="str">
        <x:v>False covered</x:v>
      </x:c>
      <x:c r="I4" s="18" t="str">
        <x:v>BVA test kích hoạt</x:v>
      </x:c>
      <x:c r="J4" s="18" t="str">
        <x:v>Ghi chú</x:v>
      </x:c>
    </x:row>
    <x:row r="5">
      <x:c r="A5" s="14" t="str">
        <x:v>Seat</x:v>
      </x:c>
      <x:c r="B5" s="14" t="str">
        <x:v>S1</x:v>
      </x:c>
      <x:c r="C5" s="14" t="str">
        <x:v>validateSeatInput</x:v>
      </x:c>
      <x:c r="D5" s="14" t="str">
        <x:v>if ($validation)</x:v>
      </x:c>
      <x:c r="E5" s="14" t="n">
        <x:v>2</x:v>
      </x:c>
      <x:c r="F5" s="14" t="n">
        <x:v>2</x:v>
      </x:c>
      <x:c r="G5" s="14" t="str">
        <x:v>Có</x:v>
      </x:c>
      <x:c r="H5" s="14" t="str">
        <x:v>Có</x:v>
      </x:c>
      <x:c r="I5" s="14" t="str">
        <x:v>TC-SEAT-BVA-01/06 (error) + TC-SEAT-BVA-02/03/04/05 (success)</x:v>
      </x:c>
      <x:c r="J5" s="14" t="str">
        <x:v>BVA tạo cả nhánh validation lỗi và thành công.</x:v>
      </x:c>
    </x:row>
    <x:row r="6">
      <x:c r="A6" s="14" t="str">
        <x:v>Seat</x:v>
      </x:c>
      <x:c r="B6" s="14" t="str">
        <x:v>S2</x:v>
      </x:c>
      <x:c r="C6" s="14" t="str">
        <x:v>validateBase</x:v>
      </x:c>
      <x:c r="D6" s="14" t="str">
        <x:v>room_id &lt;= 0 OR room không tồn tại</x:v>
      </x:c>
      <x:c r="E6" s="14" t="n">
        <x:v>2</x:v>
      </x:c>
      <x:c r="F6" s="14" t="n">
        <x:v>1</x:v>
      </x:c>
      <x:c r="G6" s="14" t="str">
        <x:v>Không</x:v>
      </x:c>
      <x:c r="H6" s="14" t="str">
        <x:v>Có</x:v>
      </x:c>
      <x:c r="I6" s="14" t="str">
        <x:v>Tất cả TC Seat dùng room hợp lệ</x:v>
      </x:c>
      <x:c r="J6" s="14" t="str">
        <x:v>Không kiểm thử room_id.</x:v>
      </x:c>
    </x:row>
    <x:row r="7">
      <x:c r="A7" s="14" t="str">
        <x:v>Seat</x:v>
      </x:c>
      <x:c r="B7" s="14" t="str">
        <x:v>S3</x:v>
      </x:c>
      <x:c r="C7" s="14" t="str">
        <x:v>validateBase</x:v>
      </x:c>
      <x:c r="D7" s="14" t="str">
        <x:v>seat_row không khớp A-H</x:v>
      </x:c>
      <x:c r="E7" s="14" t="n">
        <x:v>2</x:v>
      </x:c>
      <x:c r="F7" s="14" t="n">
        <x:v>1</x:v>
      </x:c>
      <x:c r="G7" s="14" t="str">
        <x:v>Không</x:v>
      </x:c>
      <x:c r="H7" s="14" t="str">
        <x:v>Có</x:v>
      </x:c>
      <x:c r="I7" s="14" t="str">
        <x:v>Tất cả TC Seat dùng seat_row hợp lệ</x:v>
      </x:c>
      <x:c r="J7" s="14" t="str">
        <x:v>Không kiểm thử seat_row.</x:v>
      </x:c>
    </x:row>
    <x:row r="8">
      <x:c r="A8" s="14" t="str">
        <x:v>Seat</x:v>
      </x:c>
      <x:c r="B8" s="14" t="str">
        <x:v>S4</x:v>
      </x:c>
      <x:c r="C8" s="14" t="str">
        <x:v>validateBase</x:v>
      </x:c>
      <x:c r="D8" s="14" t="str">
        <x:v>seat_number &lt; 1 OR seat_number &gt; 12</x:v>
      </x:c>
      <x:c r="E8" s="14" t="n">
        <x:v>2</x:v>
      </x:c>
      <x:c r="F8" s="14" t="n">
        <x:v>2</x:v>
      </x:c>
      <x:c r="G8" s="14" t="str">
        <x:v>Có</x:v>
      </x:c>
      <x:c r="H8" s="14" t="str">
        <x:v>Có</x:v>
      </x:c>
      <x:c r="I8" s="14" t="str">
        <x:v>True: TC-SEAT-BVA-01/06; False: TC-SEAT-BVA-02/03/04/05</x:v>
      </x:c>
      <x:c r="J8" s="14" t="str">
        <x:v>Decision chính của BVA Seat.</x:v>
      </x:c>
    </x:row>
    <x:row r="9">
      <x:c r="A9" s="14" t="str">
        <x:v>Seat</x:v>
      </x:c>
      <x:c r="B9" s="14" t="str">
        <x:v>S5</x:v>
      </x:c>
      <x:c r="C9" s="14" t="str">
        <x:v>validateBase</x:v>
      </x:c>
      <x:c r="D9" s="14" t="str">
        <x:v>seat_type_id &lt;= 0 OR loại ghế không tồn tại</x:v>
      </x:c>
      <x:c r="E9" s="14" t="n">
        <x:v>2</x:v>
      </x:c>
      <x:c r="F9" s="14" t="n">
        <x:v>1</x:v>
      </x:c>
      <x:c r="G9" s="14" t="str">
        <x:v>Không</x:v>
      </x:c>
      <x:c r="H9" s="14" t="str">
        <x:v>Có</x:v>
      </x:c>
      <x:c r="I9" s="14" t="str">
        <x:v>Tất cả TC Seat dùng seat_type hợp lệ</x:v>
      </x:c>
      <x:c r="J9" s="14" t="str">
        <x:v>Không kiểm thử seat_type_id.</x:v>
      </x:c>
    </x:row>
    <x:row r="10">
      <x:c r="A10" s="14" t="str">
        <x:v>Room</x:v>
      </x:c>
      <x:c r="B10" s="14" t="str">
        <x:v>R1</x:v>
      </x:c>
      <x:c r="C10" s="14" t="str">
        <x:v>validateRoomInput</x:v>
      </x:c>
      <x:c r="D10" s="14" t="str">
        <x:v>if ($validation)</x:v>
      </x:c>
      <x:c r="E10" s="14" t="n">
        <x:v>2</x:v>
      </x:c>
      <x:c r="F10" s="14" t="n">
        <x:v>2</x:v>
      </x:c>
      <x:c r="G10" s="14" t="str">
        <x:v>Có</x:v>
      </x:c>
      <x:c r="H10" s="14" t="str">
        <x:v>Có</x:v>
      </x:c>
      <x:c r="I10" s="14" t="str">
        <x:v>TC-ROOM-BVA-01/02 (error) + TC-ROOM-BVA-03/04 (success)</x:v>
      </x:c>
      <x:c r="J10" s="14" t="str">
        <x:v>BVA tạo cả nhánh validation lỗi và thành công.</x:v>
      </x:c>
    </x:row>
    <x:row r="11">
      <x:c r="A11" s="14" t="str">
        <x:v>Room</x:v>
      </x:c>
      <x:c r="B11" s="14" t="str">
        <x:v>R2</x:v>
      </x:c>
      <x:c r="C11" s="14" t="str">
        <x:v>validateBase</x:v>
      </x:c>
      <x:c r="D11" s="14" t="str">
        <x:v>name rỗng</x:v>
      </x:c>
      <x:c r="E11" s="14" t="n">
        <x:v>2</x:v>
      </x:c>
      <x:c r="F11" s="14" t="n">
        <x:v>1</x:v>
      </x:c>
      <x:c r="G11" s="14" t="str">
        <x:v>Không</x:v>
      </x:c>
      <x:c r="H11" s="14" t="str">
        <x:v>Có</x:v>
      </x:c>
      <x:c r="I11" s="14" t="str">
        <x:v>Tất cả TC Room dùng name hợp lệ</x:v>
      </x:c>
      <x:c r="J11" s="14" t="str">
        <x:v>Không kiểm thử name.</x:v>
      </x:c>
    </x:row>
    <x:row r="12">
      <x:c r="A12" s="14" t="str">
        <x:v>Room</x:v>
      </x:c>
      <x:c r="B12" s="14" t="str">
        <x:v>R3</x:v>
      </x:c>
      <x:c r="C12" s="14" t="str">
        <x:v>validateBase</x:v>
      </x:c>
      <x:c r="D12" s="14" t="str">
        <x:v>theatre_id &lt;= 0 OR rạp không tồn tại</x:v>
      </x:c>
      <x:c r="E12" s="14" t="n">
        <x:v>2</x:v>
      </x:c>
      <x:c r="F12" s="14" t="n">
        <x:v>1</x:v>
      </x:c>
      <x:c r="G12" s="14" t="str">
        <x:v>Không</x:v>
      </x:c>
      <x:c r="H12" s="14" t="str">
        <x:v>Có</x:v>
      </x:c>
      <x:c r="I12" s="14" t="str">
        <x:v>Tất cả TC Room dùng theatre hợp lệ</x:v>
      </x:c>
      <x:c r="J12" s="14" t="str">
        <x:v>Không kiểm thử theatre_id.</x:v>
      </x:c>
    </x:row>
    <x:row r="13">
      <x:c r="A13" s="14" t="str">
        <x:v>Room</x:v>
      </x:c>
      <x:c r="B13" s="14" t="str">
        <x:v>R4</x:v>
      </x:c>
      <x:c r="C13" s="14" t="str">
        <x:v>validateBase</x:v>
      </x:c>
      <x:c r="D13" s="14" t="str">
        <x:v>total_seats &lt; 1</x:v>
      </x:c>
      <x:c r="E13" s="14" t="n">
        <x:v>2</x:v>
      </x:c>
      <x:c r="F13" s="14" t="n">
        <x:v>2</x:v>
      </x:c>
      <x:c r="G13" s="14" t="str">
        <x:v>Có</x:v>
      </x:c>
      <x:c r="H13" s="14" t="str">
        <x:v>Có</x:v>
      </x:c>
      <x:c r="I13" s="14" t="str">
        <x:v>True: TC-ROOM-BVA-01/02; False: TC-ROOM-BVA-03/04</x:v>
      </x:c>
      <x:c r="J13" s="14" t="str">
        <x:v>Decision chính của BVA Room.</x:v>
      </x:c>
    </x:row>
    <x:row r="14">
      <x:c r="A14" s="14" t="str">
        <x:v>Theatre</x:v>
      </x:c>
      <x:c r="B14" s="14" t="str">
        <x:v>T1</x:v>
      </x:c>
      <x:c r="C14" s="14" t="str">
        <x:v>validateTheatreInput</x:v>
      </x:c>
      <x:c r="D14" s="14" t="str">
        <x:v>if ($validation)</x:v>
      </x:c>
      <x:c r="E14" s="14" t="n">
        <x:v>2</x:v>
      </x:c>
      <x:c r="F14" s="14" t="n">
        <x:v>2</x:v>
      </x:c>
      <x:c r="G14" s="14" t="str">
        <x:v>Có</x:v>
      </x:c>
      <x:c r="H14" s="14" t="str">
        <x:v>Có</x:v>
      </x:c>
      <x:c r="I14" s="14" t="str">
        <x:v>TC-THEATRE-BVA-01/02 (error) + TC-THEATRE-BVA-03/04 (success)</x:v>
      </x:c>
      <x:c r="J14" s="14" t="str">
        <x:v>BVA tạo cả nhánh validation lỗi và thành công.</x:v>
      </x:c>
    </x:row>
    <x:row r="15">
      <x:c r="A15" s="14" t="str">
        <x:v>Theatre</x:v>
      </x:c>
      <x:c r="B15" s="14" t="str">
        <x:v>T2</x:v>
      </x:c>
      <x:c r="C15" s="14" t="str">
        <x:v>validateBase</x:v>
      </x:c>
      <x:c r="D15" s="14" t="str">
        <x:v>name rỗng</x:v>
      </x:c>
      <x:c r="E15" s="14" t="n">
        <x:v>2</x:v>
      </x:c>
      <x:c r="F15" s="14" t="n">
        <x:v>1</x:v>
      </x:c>
      <x:c r="G15" s="14" t="str">
        <x:v>Không</x:v>
      </x:c>
      <x:c r="H15" s="14" t="str">
        <x:v>Có</x:v>
      </x:c>
      <x:c r="I15" s="14" t="str">
        <x:v>Tất cả TC Theatre dùng name hợp lệ</x:v>
      </x:c>
      <x:c r="J15" s="14" t="str">
        <x:v>Không kiểm thử name.</x:v>
      </x:c>
    </x:row>
    <x:row r="16">
      <x:c r="A16" s="14" t="str">
        <x:v>Theatre</x:v>
      </x:c>
      <x:c r="B16" s="14" t="str">
        <x:v>T3</x:v>
      </x:c>
      <x:c r="C16" s="14" t="str">
        <x:v>validateBase</x:v>
      </x:c>
      <x:c r="D16" s="14" t="str">
        <x:v>total_screens &lt; 1</x:v>
      </x:c>
      <x:c r="E16" s="14" t="n">
        <x:v>2</x:v>
      </x:c>
      <x:c r="F16" s="14" t="n">
        <x:v>2</x:v>
      </x:c>
      <x:c r="G16" s="14" t="str">
        <x:v>Có</x:v>
      </x:c>
      <x:c r="H16" s="14" t="str">
        <x:v>Có</x:v>
      </x:c>
      <x:c r="I16" s="14" t="str">
        <x:v>True: TC-THEATRE-BVA-01/02; False: TC-THEATRE-BVA-03/04</x:v>
      </x:c>
      <x:c r="J16" s="14" t="str">
        <x:v>Decision chính của BVA Theatre.</x:v>
      </x:c>
    </x:row>
    <x:row r="19">
      <x:c r="A19" s="26" t="str">
        <x:v>Module</x:v>
      </x:c>
      <x:c r="B19" s="26" t="str">
        <x:v>Decision count</x:v>
      </x:c>
      <x:c r="C19" s="26" t="str">
        <x:v>Total branch outcomes</x:v>
      </x:c>
      <x:c r="D19" s="26" t="str">
        <x:v>Covered outcomes</x:v>
      </x:c>
      <x:c r="E19" s="26" t="str">
        <x:v>Coverage</x:v>
      </x:c>
      <x:c r="F19" s="26" t="str">
        <x:v>Kết luận</x:v>
      </x:c>
    </x:row>
    <x:row r="20">
      <x:c r="A20" t="str">
        <x:v>Seat</x:v>
      </x:c>
      <x:c r="B20" t="n">
        <x:f>COUNTIF($A$5:$A$16,A20)</x:f>
        <x:v>5</x:v>
      </x:c>
      <x:c r="C20" t="n">
        <x:f>SUMIF($A$5:$A$16,A20,$E$5:$E$16)</x:f>
        <x:v>10</x:v>
      </x:c>
      <x:c r="D20" t="n">
        <x:f>SUMIF($A$5:$A$16,A20,$F$5:$F$16)</x:f>
        <x:v>7</x:v>
      </x:c>
      <x:c r="E20" s="22" t="n">
        <x:f>D20/C20</x:f>
        <x:v>0.7</x:v>
      </x:c>
      <x:c r="F20" t="str">
        <x:f>TEXT(E20,"0.00%")</x:f>
        <x:v>70.00%</x:v>
      </x:c>
    </x:row>
    <x:row r="21">
      <x:c r="A21" t="str">
        <x:v>Room</x:v>
      </x:c>
      <x:c r="B21" t="n">
        <x:f>COUNTIF($A$5:$A$16,A21)</x:f>
        <x:v>4</x:v>
      </x:c>
      <x:c r="C21" t="n">
        <x:f>SUMIF($A$5:$A$16,A21,$E$5:$E$16)</x:f>
        <x:v>8</x:v>
      </x:c>
      <x:c r="D21" t="n">
        <x:f>SUMIF($A$5:$A$16,A21,$F$5:$F$16)</x:f>
        <x:v>6</x:v>
      </x:c>
      <x:c r="E21" s="22" t="n">
        <x:f>D21/C21</x:f>
        <x:v>0.75</x:v>
      </x:c>
      <x:c r="F21" t="str">
        <x:f>TEXT(E21,"0.00%")</x:f>
        <x:v>75.00%</x:v>
      </x:c>
    </x:row>
    <x:row r="22">
      <x:c r="A22" t="str">
        <x:v>Theatre</x:v>
      </x:c>
      <x:c r="B22" t="n">
        <x:f>COUNTIF($A$5:$A$16,A22)</x:f>
        <x:v>3</x:v>
      </x:c>
      <x:c r="C22" t="n">
        <x:f>SUMIF($A$5:$A$16,A22,$E$5:$E$16)</x:f>
        <x:v>6</x:v>
      </x:c>
      <x:c r="D22" t="n">
        <x:f>SUMIF($A$5:$A$16,A22,$F$5:$F$16)</x:f>
        <x:v>5</x:v>
      </x:c>
      <x:c r="E22" s="22" t="n">
        <x:f>D22/C22</x:f>
        <x:v>0.8333333333333334</x:v>
      </x:c>
      <x:c r="F22" t="str">
        <x:f>TEXT(E22,"0.00%")</x:f>
        <x:v>83.33%</x:v>
      </x:c>
    </x:row>
    <x:row r="23">
      <x:c r="A23" s="32" t="str">
        <x:v>TOTAL</x:v>
      </x:c>
      <x:c r="B23" s="32" t="n">
        <x:f>SUM(B20:B22)</x:f>
        <x:v>12</x:v>
      </x:c>
      <x:c r="C23" s="32" t="n">
        <x:f>SUM(C20:C22)</x:f>
        <x:v>24</x:v>
      </x:c>
      <x:c r="D23" s="32" t="n">
        <x:f>SUM(D20:D22)</x:f>
        <x:v>18</x:v>
      </x:c>
      <x:c r="E23" s="33" t="n">
        <x:f>D23/C23</x:f>
        <x:v>0.75</x:v>
      </x:c>
      <x:c r="F23" s="32" t="str">
        <x:f>"Bộ BVA đạt "&amp;TEXT(E23,"0.00%")&amp;" logic/decision coverage"</x:f>
        <x:v>Bộ BVA đạt 75.00% logic/decision coverage</x:v>
      </x:c>
    </x:row>
  </x:sheetData>
  <x:mergeCells>
    <x:mergeCell ref="A1:J1"/>
    <x:mergeCell ref="A2:J2"/>
  </x:mergeCells>
  <x:conditionalFormatting sqref="G5:H16">
    <x:cfRule type="expression" dxfId="0" priority="1">
      <x:formula>G5="Có"</x:formula>
    </x:cfRule>
    <x:cfRule type="expression" dxfId="1" priority="2">
      <x:formula>G5="Không"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721e04dd9c234c84"/>
    <x:tablePart xmlns:r="http://schemas.openxmlformats.org/officeDocument/2006/relationships" r:id="Ra3d4d79d4f0844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8" hidden="0" customWidth="1"/>
    <x:col min="4" max="4" width="12" hidden="0" customWidth="1"/>
    <x:col min="5" max="5" width="32" hidden="0" customWidth="1"/>
  </x:cols>
  <x:sheetData>
    <x:row r="1">
      <x:c r="A1" s="4" t="str">
        <x:v>INDEPENDENT VALIDATION PATH COVERAGE — THỦ CÔNG</x:v>
      </x:c>
      <x:c r="B1" s="4"/>
      <x:c r="C1" s="4"/>
      <x:c r="D1" s="4"/>
      <x:c r="E1" s="4"/>
    </x:row>
    <x:row r="2">
      <x:c r="A2" s="10" t="str">
        <x:v>Path là các đường kết thúc độc lập của validateBase/validateInput liên quan tới BVA; không phải path coverage runtime do instrumentation đo.</x:v>
      </x:c>
      <x:c r="B2" s="10"/>
      <x:c r="C2" s="10"/>
      <x:c r="D2" s="10"/>
      <x:c r="E2" s="10"/>
    </x:row>
    <x:row r="4">
      <x:c r="A4" s="18" t="str">
        <x:v>Module</x:v>
      </x:c>
      <x:c r="B4" s="18" t="str">
        <x:v>Path ID</x:v>
      </x:c>
      <x:c r="C4" s="18" t="str">
        <x:v>Đường logic</x:v>
      </x:c>
      <x:c r="D4" s="18" t="str">
        <x:v>Covered?</x:v>
      </x:c>
      <x:c r="E4" s="18" t="str">
        <x:v>Test case</x:v>
      </x:c>
    </x:row>
    <x:row r="5">
      <x:c r="A5" s="14" t="str">
        <x:v>Seat</x:v>
      </x:c>
      <x:c r="B5" s="14" t="str">
        <x:v>P1</x:v>
      </x:c>
      <x:c r="C5" s="14" t="str">
        <x:v>Phòng chiếu không hợp lệ</x:v>
      </x:c>
      <x:c r="D5" s="14" t="str">
        <x:v>Không</x:v>
      </x:c>
      <x:c r="E5" s="14" t="str"/>
    </x:row>
    <x:row r="6">
      <x:c r="A6" s="14" t="str">
        <x:v>Seat</x:v>
      </x:c>
      <x:c r="B6" s="14" t="str">
        <x:v>P2</x:v>
      </x:c>
      <x:c r="C6" s="14" t="str">
        <x:v>Hàng ghế không hợp lệ</x:v>
      </x:c>
      <x:c r="D6" s="14" t="str">
        <x:v>Không</x:v>
      </x:c>
      <x:c r="E6" s="14" t="str"/>
    </x:row>
    <x:row r="7">
      <x:c r="A7" s="14" t="str">
        <x:v>Seat</x:v>
      </x:c>
      <x:c r="B7" s="14" t="str">
        <x:v>P3</x:v>
      </x:c>
      <x:c r="C7" s="14" t="str">
        <x:v>Số ghế ngoài 1..12</x:v>
      </x:c>
      <x:c r="D7" s="14" t="str">
        <x:v>Có</x:v>
      </x:c>
      <x:c r="E7" s="14" t="str">
        <x:v>TC-SEAT-BVA-01/06</x:v>
      </x:c>
    </x:row>
    <x:row r="8">
      <x:c r="A8" s="14" t="str">
        <x:v>Seat</x:v>
      </x:c>
      <x:c r="B8" s="14" t="str">
        <x:v>P4</x:v>
      </x:c>
      <x:c r="C8" s="14" t="str">
        <x:v>Loại ghế không hợp lệ</x:v>
      </x:c>
      <x:c r="D8" s="14" t="str">
        <x:v>Không</x:v>
      </x:c>
      <x:c r="E8" s="14" t="str"/>
    </x:row>
    <x:row r="9">
      <x:c r="A9" s="14" t="str">
        <x:v>Seat</x:v>
      </x:c>
      <x:c r="B9" s="14" t="str">
        <x:v>P5</x:v>
      </x:c>
      <x:c r="C9" s="14" t="str">
        <x:v>Dữ liệu ghế hợp lệ</x:v>
      </x:c>
      <x:c r="D9" s="14" t="str">
        <x:v>Có</x:v>
      </x:c>
      <x:c r="E9" s="14" t="str">
        <x:v>TC-SEAT-BVA-02/03/04/05</x:v>
      </x:c>
    </x:row>
    <x:row r="10">
      <x:c r="A10" s="14" t="str">
        <x:v>Room</x:v>
      </x:c>
      <x:c r="B10" s="14" t="str">
        <x:v>P1</x:v>
      </x:c>
      <x:c r="C10" s="14" t="str">
        <x:v>Tên phòng rỗng</x:v>
      </x:c>
      <x:c r="D10" s="14" t="str">
        <x:v>Không</x:v>
      </x:c>
      <x:c r="E10" s="14" t="str"/>
    </x:row>
    <x:row r="11">
      <x:c r="A11" s="14" t="str">
        <x:v>Room</x:v>
      </x:c>
      <x:c r="B11" s="14" t="str">
        <x:v>P2</x:v>
      </x:c>
      <x:c r="C11" s="14" t="str">
        <x:v>Rạp chiếu không hợp lệ</x:v>
      </x:c>
      <x:c r="D11" s="14" t="str">
        <x:v>Không</x:v>
      </x:c>
      <x:c r="E11" s="14" t="str"/>
    </x:row>
    <x:row r="12">
      <x:c r="A12" s="14" t="str">
        <x:v>Room</x:v>
      </x:c>
      <x:c r="B12" s="14" t="str">
        <x:v>P3</x:v>
      </x:c>
      <x:c r="C12" s="14" t="str">
        <x:v>total_seats &lt; 1</x:v>
      </x:c>
      <x:c r="D12" s="14" t="str">
        <x:v>Có</x:v>
      </x:c>
      <x:c r="E12" s="14" t="str">
        <x:v>TC-ROOM-BVA-01/02</x:v>
      </x:c>
    </x:row>
    <x:row r="13">
      <x:c r="A13" s="14" t="str">
        <x:v>Room</x:v>
      </x:c>
      <x:c r="B13" s="14" t="str">
        <x:v>P4</x:v>
      </x:c>
      <x:c r="C13" s="14" t="str">
        <x:v>Dữ liệu phòng hợp lệ</x:v>
      </x:c>
      <x:c r="D13" s="14" t="str">
        <x:v>Có</x:v>
      </x:c>
      <x:c r="E13" s="14" t="str">
        <x:v>TC-ROOM-BVA-03/04</x:v>
      </x:c>
    </x:row>
    <x:row r="14">
      <x:c r="A14" s="14" t="str">
        <x:v>Theatre</x:v>
      </x:c>
      <x:c r="B14" s="14" t="str">
        <x:v>P1</x:v>
      </x:c>
      <x:c r="C14" s="14" t="str">
        <x:v>Tên rạp rỗng</x:v>
      </x:c>
      <x:c r="D14" s="14" t="str">
        <x:v>Không</x:v>
      </x:c>
      <x:c r="E14" s="14" t="str"/>
    </x:row>
    <x:row r="15">
      <x:c r="A15" s="14" t="str">
        <x:v>Theatre</x:v>
      </x:c>
      <x:c r="B15" s="14" t="str">
        <x:v>P2</x:v>
      </x:c>
      <x:c r="C15" s="14" t="str">
        <x:v>total_screens &lt; 1</x:v>
      </x:c>
      <x:c r="D15" s="14" t="str">
        <x:v>Có</x:v>
      </x:c>
      <x:c r="E15" s="14" t="str">
        <x:v>TC-THEATRE-BVA-01/02</x:v>
      </x:c>
    </x:row>
    <x:row r="16">
      <x:c r="A16" s="14" t="str">
        <x:v>Theatre</x:v>
      </x:c>
      <x:c r="B16" s="14" t="str">
        <x:v>P3</x:v>
      </x:c>
      <x:c r="C16" s="14" t="str">
        <x:v>Dữ liệu rạp hợp lệ</x:v>
      </x:c>
      <x:c r="D16" s="14" t="str">
        <x:v>Có</x:v>
      </x:c>
      <x:c r="E16" s="14" t="str">
        <x:v>TC-THEATRE-BVA-03/04</x:v>
      </x:c>
    </x:row>
    <x:row r="19">
      <x:c r="A19" s="26" t="str">
        <x:v>Module</x:v>
      </x:c>
      <x:c r="B19" s="26" t="str">
        <x:v>Total paths</x:v>
      </x:c>
      <x:c r="C19" s="26" t="str">
        <x:v>Covered paths</x:v>
      </x:c>
      <x:c r="D19" s="26" t="str">
        <x:v>Coverage</x:v>
      </x:c>
      <x:c r="E19" s="26" t="str">
        <x:v>Kết quả</x:v>
      </x:c>
    </x:row>
    <x:row r="20">
      <x:c r="A20" t="str">
        <x:v>Seat</x:v>
      </x:c>
      <x:c r="B20" t="n">
        <x:f>COUNTIF($A$5:$A$16,A20)</x:f>
        <x:v>5</x:v>
      </x:c>
      <x:c r="C20" t="n">
        <x:f>COUNTIFS($A$5:$A$16,A20,$D$5:$D$16,"Có")</x:f>
        <x:v>2</x:v>
      </x:c>
      <x:c r="D20" s="22" t="n">
        <x:f>C20/B20</x:f>
        <x:v>0.4</x:v>
      </x:c>
      <x:c r="E20" t="str">
        <x:f>C20&amp;"/"&amp;B20</x:f>
        <x:v>2/5</x:v>
      </x:c>
    </x:row>
    <x:row r="21">
      <x:c r="A21" t="str">
        <x:v>Room</x:v>
      </x:c>
      <x:c r="B21" t="n">
        <x:f>COUNTIF($A$5:$A$16,A21)</x:f>
        <x:v>4</x:v>
      </x:c>
      <x:c r="C21" t="n">
        <x:f>COUNTIFS($A$5:$A$16,A21,$D$5:$D$16,"Có")</x:f>
        <x:v>2</x:v>
      </x:c>
      <x:c r="D21" s="22" t="n">
        <x:f>C21/B21</x:f>
        <x:v>0.5</x:v>
      </x:c>
      <x:c r="E21" t="str">
        <x:f>C21&amp;"/"&amp;B21</x:f>
        <x:v>2/4</x:v>
      </x:c>
    </x:row>
    <x:row r="22">
      <x:c r="A22" t="str">
        <x:v>Theatre</x:v>
      </x:c>
      <x:c r="B22" t="n">
        <x:f>COUNTIF($A$5:$A$16,A22)</x:f>
        <x:v>3</x:v>
      </x:c>
      <x:c r="C22" t="n">
        <x:f>COUNTIFS($A$5:$A$16,A22,$D$5:$D$16,"Có")</x:f>
        <x:v>2</x:v>
      </x:c>
      <x:c r="D22" s="22" t="n">
        <x:f>C22/B22</x:f>
        <x:v>0.6666666666666666</x:v>
      </x:c>
      <x:c r="E22" t="str">
        <x:f>C22&amp;"/"&amp;B22</x:f>
        <x:v>2/3</x:v>
      </x:c>
    </x:row>
    <x:row r="23">
      <x:c r="A23" s="32" t="str">
        <x:v>TOTAL</x:v>
      </x:c>
      <x:c r="B23" s="32" t="n">
        <x:f>SUM(B20:B22)</x:f>
        <x:v>12</x:v>
      </x:c>
      <x:c r="C23" s="32" t="n">
        <x:f>SUM(C20:C22)</x:f>
        <x:v>6</x:v>
      </x:c>
      <x:c r="D23" s="33" t="n">
        <x:f>C23/B23</x:f>
        <x:v>0.5</x:v>
      </x:c>
      <x:c r="E23" s="32" t="str">
        <x:f>"Tổng: "&amp;C23&amp;"/"&amp;B23</x:f>
        <x:v>Tổng: 6/12</x:v>
      </x:c>
    </x:row>
  </x:sheetData>
  <x:mergeCells>
    <x:mergeCell ref="A1:E1"/>
    <x:mergeCell ref="A2:E2"/>
  </x:mergeCells>
  <x:conditionalFormatting sqref="D5:D16">
    <x:cfRule type="expression" dxfId="2" priority="1">
      <x:formula>D5="Có"</x:formula>
    </x:cfRule>
    <x:cfRule type="expression" dxfId="3" priority="2">
      <x:formula>D5="Không"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9044d6b82e4f427e"/>
    <x:tablePart xmlns:r="http://schemas.openxmlformats.org/officeDocument/2006/relationships" r:id="R6bca9df8915f4c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20" hidden="0" customWidth="1"/>
    <x:col min="4" max="4" width="12" hidden="0" customWidth="1"/>
    <x:col min="5" max="5" width="18" hidden="0" customWidth="1"/>
    <x:col min="6" max="6" width="13" hidden="0" customWidth="1"/>
  </x:cols>
  <x:sheetData>
    <x:row r="1">
      <x:c r="A1" s="4" t="str">
        <x:v>BVA TEST CASES — SEAT + ROOM + THEATRE</x:v>
      </x:c>
      <x:c r="B1" s="4"/>
      <x:c r="C1" s="4"/>
      <x:c r="D1" s="4"/>
      <x:c r="E1" s="4"/>
      <x:c r="F1" s="4"/>
    </x:row>
    <x:row r="3">
      <x:c r="A3" s="18" t="str">
        <x:v>Module</x:v>
      </x:c>
      <x:c r="B3" s="18" t="str">
        <x:v>Test Case ID</x:v>
      </x:c>
      <x:c r="C3" s="18" t="str">
        <x:v>Field</x:v>
      </x:c>
      <x:c r="D3" s="18" t="str">
        <x:v>Input</x:v>
      </x:c>
      <x:c r="E3" s="18" t="str">
        <x:v>Boundary Position</x:v>
      </x:c>
      <x:c r="F3" s="18" t="str">
        <x:v>Expected</x:v>
      </x:c>
    </x:row>
    <x:row r="4">
      <x:c r="A4" s="14" t="str">
        <x:v>Seat</x:v>
      </x:c>
      <x:c r="B4" s="14" t="str">
        <x:v>TC-SEAT-BVA-01</x:v>
      </x:c>
      <x:c r="C4" s="14" t="str">
        <x:v>seat_number</x:v>
      </x:c>
      <x:c r="D4" s="14" t="n">
        <x:v>0</x:v>
      </x:c>
      <x:c r="E4" s="14" t="str">
        <x:v>MIN - 1</x:v>
      </x:c>
      <x:c r="F4" s="14" t="str">
        <x:v>error</x:v>
      </x:c>
    </x:row>
    <x:row r="5">
      <x:c r="A5" s="14" t="str">
        <x:v>Seat</x:v>
      </x:c>
      <x:c r="B5" s="14" t="str">
        <x:v>TC-SEAT-BVA-02</x:v>
      </x:c>
      <x:c r="C5" s="14" t="str">
        <x:v>seat_number</x:v>
      </x:c>
      <x:c r="D5" s="14" t="n">
        <x:v>1</x:v>
      </x:c>
      <x:c r="E5" s="14" t="str">
        <x:v>MIN</x:v>
      </x:c>
      <x:c r="F5" s="14" t="str">
        <x:v>success</x:v>
      </x:c>
    </x:row>
    <x:row r="6">
      <x:c r="A6" s="14" t="str">
        <x:v>Seat</x:v>
      </x:c>
      <x:c r="B6" s="14" t="str">
        <x:v>TC-SEAT-BVA-03</x:v>
      </x:c>
      <x:c r="C6" s="14" t="str">
        <x:v>seat_number</x:v>
      </x:c>
      <x:c r="D6" s="14" t="n">
        <x:v>2</x:v>
      </x:c>
      <x:c r="E6" s="14" t="str">
        <x:v>MIN + 1</x:v>
      </x:c>
      <x:c r="F6" s="14" t="str">
        <x:v>success</x:v>
      </x:c>
    </x:row>
    <x:row r="7">
      <x:c r="A7" s="14" t="str">
        <x:v>Seat</x:v>
      </x:c>
      <x:c r="B7" s="14" t="str">
        <x:v>TC-SEAT-BVA-04</x:v>
      </x:c>
      <x:c r="C7" s="14" t="str">
        <x:v>seat_number</x:v>
      </x:c>
      <x:c r="D7" s="14" t="n">
        <x:v>11</x:v>
      </x:c>
      <x:c r="E7" s="14" t="str">
        <x:v>MAX - 1</x:v>
      </x:c>
      <x:c r="F7" s="14" t="str">
        <x:v>success</x:v>
      </x:c>
    </x:row>
    <x:row r="8">
      <x:c r="A8" s="14" t="str">
        <x:v>Seat</x:v>
      </x:c>
      <x:c r="B8" s="14" t="str">
        <x:v>TC-SEAT-BVA-05</x:v>
      </x:c>
      <x:c r="C8" s="14" t="str">
        <x:v>seat_number</x:v>
      </x:c>
      <x:c r="D8" s="14" t="n">
        <x:v>12</x:v>
      </x:c>
      <x:c r="E8" s="14" t="str">
        <x:v>MAX</x:v>
      </x:c>
      <x:c r="F8" s="14" t="str">
        <x:v>success</x:v>
      </x:c>
    </x:row>
    <x:row r="9">
      <x:c r="A9" s="14" t="str">
        <x:v>Seat</x:v>
      </x:c>
      <x:c r="B9" s="14" t="str">
        <x:v>TC-SEAT-BVA-06</x:v>
      </x:c>
      <x:c r="C9" s="14" t="str">
        <x:v>seat_number</x:v>
      </x:c>
      <x:c r="D9" s="14" t="n">
        <x:v>13</x:v>
      </x:c>
      <x:c r="E9" s="14" t="str">
        <x:v>MAX + 1</x:v>
      </x:c>
      <x:c r="F9" s="14" t="str">
        <x:v>error</x:v>
      </x:c>
    </x:row>
    <x:row r="10">
      <x:c r="A10" s="14" t="str">
        <x:v>Room</x:v>
      </x:c>
      <x:c r="B10" s="14" t="str">
        <x:v>TC-ROOM-BVA-01</x:v>
      </x:c>
      <x:c r="C10" s="14" t="str">
        <x:v>total_seats</x:v>
      </x:c>
      <x:c r="D10" s="14" t="n">
        <x:v>-1</x:v>
      </x:c>
      <x:c r="E10" s="14" t="str">
        <x:v>MIN - 2</x:v>
      </x:c>
      <x:c r="F10" s="14" t="str">
        <x:v>error</x:v>
      </x:c>
    </x:row>
    <x:row r="11">
      <x:c r="A11" s="14" t="str">
        <x:v>Room</x:v>
      </x:c>
      <x:c r="B11" s="14" t="str">
        <x:v>TC-ROOM-BVA-02</x:v>
      </x:c>
      <x:c r="C11" s="14" t="str">
        <x:v>total_seats</x:v>
      </x:c>
      <x:c r="D11" s="14" t="n">
        <x:v>0</x:v>
      </x:c>
      <x:c r="E11" s="14" t="str">
        <x:v>MIN - 1</x:v>
      </x:c>
      <x:c r="F11" s="14" t="str">
        <x:v>error</x:v>
      </x:c>
    </x:row>
    <x:row r="12">
      <x:c r="A12" s="14" t="str">
        <x:v>Room</x:v>
      </x:c>
      <x:c r="B12" s="14" t="str">
        <x:v>TC-ROOM-BVA-03</x:v>
      </x:c>
      <x:c r="C12" s="14" t="str">
        <x:v>total_seats</x:v>
      </x:c>
      <x:c r="D12" s="14" t="n">
        <x:v>1</x:v>
      </x:c>
      <x:c r="E12" s="14" t="str">
        <x:v>MIN</x:v>
      </x:c>
      <x:c r="F12" s="14" t="str">
        <x:v>success</x:v>
      </x:c>
    </x:row>
    <x:row r="13">
      <x:c r="A13" s="14" t="str">
        <x:v>Room</x:v>
      </x:c>
      <x:c r="B13" s="14" t="str">
        <x:v>TC-ROOM-BVA-04</x:v>
      </x:c>
      <x:c r="C13" s="14" t="str">
        <x:v>total_seats</x:v>
      </x:c>
      <x:c r="D13" s="14" t="n">
        <x:v>2</x:v>
      </x:c>
      <x:c r="E13" s="14" t="str">
        <x:v>MIN + 1</x:v>
      </x:c>
      <x:c r="F13" s="14" t="str">
        <x:v>success</x:v>
      </x:c>
    </x:row>
    <x:row r="14">
      <x:c r="A14" s="14" t="str">
        <x:v>Theatre</x:v>
      </x:c>
      <x:c r="B14" s="14" t="str">
        <x:v>TC-THEATRE-BVA-01</x:v>
      </x:c>
      <x:c r="C14" s="14" t="str">
        <x:v>total_screens</x:v>
      </x:c>
      <x:c r="D14" s="14" t="n">
        <x:v>-1</x:v>
      </x:c>
      <x:c r="E14" s="14" t="str">
        <x:v>MIN - 2</x:v>
      </x:c>
      <x:c r="F14" s="14" t="str">
        <x:v>error</x:v>
      </x:c>
    </x:row>
    <x:row r="15">
      <x:c r="A15" s="14" t="str">
        <x:v>Theatre</x:v>
      </x:c>
      <x:c r="B15" s="14" t="str">
        <x:v>TC-THEATRE-BVA-02</x:v>
      </x:c>
      <x:c r="C15" s="14" t="str">
        <x:v>total_screens</x:v>
      </x:c>
      <x:c r="D15" s="14" t="n">
        <x:v>0</x:v>
      </x:c>
      <x:c r="E15" s="14" t="str">
        <x:v>MIN - 1</x:v>
      </x:c>
      <x:c r="F15" s="14" t="str">
        <x:v>error</x:v>
      </x:c>
    </x:row>
    <x:row r="16">
      <x:c r="A16" s="14" t="str">
        <x:v>Theatre</x:v>
      </x:c>
      <x:c r="B16" s="14" t="str">
        <x:v>TC-THEATRE-BVA-03</x:v>
      </x:c>
      <x:c r="C16" s="14" t="str">
        <x:v>total_screens</x:v>
      </x:c>
      <x:c r="D16" s="14" t="n">
        <x:v>1</x:v>
      </x:c>
      <x:c r="E16" s="14" t="str">
        <x:v>MIN</x:v>
      </x:c>
      <x:c r="F16" s="14" t="str">
        <x:v>success</x:v>
      </x:c>
    </x:row>
    <x:row r="17">
      <x:c r="A17" s="14" t="str">
        <x:v>Theatre</x:v>
      </x:c>
      <x:c r="B17" s="14" t="str">
        <x:v>TC-THEATRE-BVA-04</x:v>
      </x:c>
      <x:c r="C17" s="14" t="str">
        <x:v>total_screens</x:v>
      </x:c>
      <x:c r="D17" s="14" t="n">
        <x:v>2</x:v>
      </x:c>
      <x:c r="E17" s="14" t="str">
        <x:v>MIN + 1</x:v>
      </x:c>
      <x:c r="F17" s="14" t="str">
        <x:v>success</x:v>
      </x:c>
    </x:row>
    <x:row r="20">
      <x:c r="A20" s="26" t="str">
        <x:v>Module</x:v>
      </x:c>
      <x:c r="B20" s="26" t="str">
        <x:v>Designed BVA Cases</x:v>
      </x:c>
      <x:c r="C20" s="26" t="str">
        <x:v>Executed/Available Cases</x:v>
      </x:c>
      <x:c r="D20" s="26" t="str">
        <x:v>Case Coverage</x:v>
      </x:c>
    </x:row>
    <x:row r="21">
      <x:c r="A21" t="str">
        <x:v>Seat</x:v>
      </x:c>
      <x:c r="B21" t="n">
        <x:f>COUNTIF($A$4:$A$17,A21)</x:f>
        <x:v>6</x:v>
      </x:c>
      <x:c r="C21" t="n">
        <x:f>B21</x:f>
        <x:v>6</x:v>
      </x:c>
      <x:c r="D21" s="22" t="n">
        <x:f>C21/B21</x:f>
        <x:v>1</x:v>
      </x:c>
    </x:row>
    <x:row r="22">
      <x:c r="A22" t="str">
        <x:v>Room</x:v>
      </x:c>
      <x:c r="B22" t="n">
        <x:f>COUNTIF($A$4:$A$17,A22)</x:f>
        <x:v>4</x:v>
      </x:c>
      <x:c r="C22" t="n">
        <x:f>B22</x:f>
        <x:v>4</x:v>
      </x:c>
      <x:c r="D22" s="22" t="n">
        <x:f>C22/B22</x:f>
        <x:v>1</x:v>
      </x:c>
    </x:row>
    <x:row r="23">
      <x:c r="A23" t="str">
        <x:v>Theatre</x:v>
      </x:c>
      <x:c r="B23" t="n">
        <x:f>COUNTIF($A$4:$A$17,A23)</x:f>
        <x:v>4</x:v>
      </x:c>
      <x:c r="C23" t="n">
        <x:f>B23</x:f>
        <x:v>4</x:v>
      </x:c>
      <x:c r="D23" s="22" t="n">
        <x:f>C23/B23</x:f>
        <x:v>1</x:v>
      </x:c>
    </x:row>
    <x:row r="24">
      <x:c r="A24" s="32" t="str">
        <x:v>TOTAL</x:v>
      </x:c>
      <x:c r="B24" s="32" t="n">
        <x:f>SUM(B21:B23)</x:f>
        <x:v>14</x:v>
      </x:c>
      <x:c r="C24" s="32" t="n">
        <x:f>B24</x:f>
        <x:v>14</x:v>
      </x:c>
      <x:c r="D24" s="33" t="n">
        <x:f>C24/B24</x:f>
        <x:v>1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6bff97b56a6e4c33"/>
    <x:tablePart xmlns:r="http://schemas.openxmlformats.org/officeDocument/2006/relationships" r:id="R02e7020f915e4d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36" hidden="0" customWidth="1"/>
    <x:col min="4" max="4" width="36" hidden="0" customWidth="1"/>
    <x:col min="5" max="5" width="38" hidden="0" customWidth="1"/>
    <x:col min="6" max="6" width="14" hidden="0" customWidth="1"/>
  </x:cols>
  <x:sheetData>
    <x:row r="1">
      <x:c r="A1" s="4" t="str">
        <x:v>PHƯƠNG PHÁP TÍNH &amp; LIÊN HỆ VỚI SONARQUBE</x:v>
      </x:c>
      <x:c r="B1" s="4"/>
      <x:c r="C1" s="4"/>
      <x:c r="D1" s="4"/>
      <x:c r="E1" s="4"/>
      <x:c r="F1" s="4"/>
    </x:row>
    <x:row r="3">
      <x:c r="A3" s="17" t="str">
        <x:v>Nội dung</x:v>
      </x:c>
      <x:c r="B3" s="17" t="str">
        <x:v>Mô tả</x:v>
      </x:c>
    </x:row>
    <x:row r="4">
      <x:c r="A4" s="14" t="str">
        <x:v>Mục tiêu</x:v>
      </x:c>
      <x:c r="B4" s="14" t="str">
        <x:v>Đo độ phủ của riêng bộ BVA Seat + Room + Theatre ở mức logic/decision.</x:v>
      </x:c>
    </x:row>
    <x:row r="5">
      <x:c r="A5" s="14" t="str">
        <x:v>Đơn vị đo chính</x:v>
      </x:c>
      <x:c r="B5" s="14" t="str">
        <x:v>Branch outcome thủ công: mỗi decision if có True + False.</x:v>
      </x:c>
    </x:row>
    <x:row r="6">
      <x:c r="A6" s="14" t="str">
        <x:v>Công thức</x:v>
      </x:c>
      <x:c r="B6" s="14" t="str">
        <x:v>Coverage = Covered branch outcomes / Total branch outcomes.</x:v>
      </x:c>
    </x:row>
    <x:row r="7">
      <x:c r="A7" s="14" t="str">
        <x:v>Kết quả chính</x:v>
      </x:c>
      <x:c r="B7" s="14" t="str">
        <x:v>18 / 24 = 75.00%.</x:v>
      </x:c>
    </x:row>
    <x:row r="8">
      <x:c r="A8" s="14" t="str">
        <x:v>Không phải</x:v>
      </x:c>
      <x:c r="B8" s="14" t="str">
        <x:v>Không phải branch coverage runtime do Xdebug/Sonar tự instrumentation.</x:v>
      </x:c>
    </x:row>
    <x:row r="11">
      <x:c r="A11" s="40" t="str">
        <x:v>Nguồn</x:v>
      </x:c>
      <x:c r="B11" s="40" t="str">
        <x:v>URL</x:v>
      </x:c>
      <x:c r="C11" s="40" t="str">
        <x:v>Dùng để</x:v>
      </x:c>
      <x:c r="D11" s="40" t="str">
        <x:v>Liên hệ Sonar</x:v>
      </x:c>
      <x:c r="E11" s="40" t="str">
        <x:v>Ghi chú</x:v>
      </x:c>
      <x:c r="F11" s="40" t="str">
        <x:v>Trạng thái</x:v>
      </x:c>
    </x:row>
    <x:row r="12">
      <x:c r="A12" s="14" t="str">
        <x:v>SeatService.php</x:v>
      </x:c>
      <x:c r="B12" s="14" t="str">
        <x:v>https://github.com/TranHuuLoiDev/KCPM/blob/main/backend/app/Services/SeatService.php</x:v>
      </x:c>
      <x:c r="C12" s="14" t="str">
        <x:v>Xác định decision validateSeatInput/validateBase</x:v>
      </x:c>
      <x:c r="D12" s="14" t="str">
        <x:v>Production source</x:v>
      </x:c>
      <x:c r="E12" s="14" t="str">
        <x:v>Phân tích thủ công decision/branch</x:v>
      </x:c>
      <x:c r="F12" s="14" t="str">
        <x:v>Đã dùng</x:v>
      </x:c>
    </x:row>
    <x:row r="13">
      <x:c r="A13" s="14" t="str">
        <x:v>RoomService.php</x:v>
      </x:c>
      <x:c r="B13" s="14" t="str">
        <x:v>https://github.com/TranHuuLoiDev/KCPM/blob/main/backend/app/Services/RoomService.php</x:v>
      </x:c>
      <x:c r="C13" s="14" t="str">
        <x:v>Xác định decision validateRoomInput/validateBase</x:v>
      </x:c>
      <x:c r="D13" s="14" t="str">
        <x:v>Production source</x:v>
      </x:c>
      <x:c r="E13" s="14" t="str">
        <x:v>Phân tích thủ công decision/branch</x:v>
      </x:c>
      <x:c r="F13" s="14" t="str">
        <x:v>Đã dùng</x:v>
      </x:c>
    </x:row>
    <x:row r="14">
      <x:c r="A14" s="14" t="str">
        <x:v>TheatreService.php</x:v>
      </x:c>
      <x:c r="B14" s="14" t="str">
        <x:v>https://github.com/TranHuuLoiDev/KCPM/blob/main/backend/app/Services/TheatreService.php</x:v>
      </x:c>
      <x:c r="C14" s="14" t="str">
        <x:v>Xác định decision validateTheatreInput/validateBase</x:v>
      </x:c>
      <x:c r="D14" s="14" t="str">
        <x:v>Production source</x:v>
      </x:c>
      <x:c r="E14" s="14" t="str">
        <x:v>Phân tích thủ công decision/branch</x:v>
      </x:c>
      <x:c r="F14" s="14" t="str">
        <x:v>Đã dùng</x:v>
      </x:c>
    </x:row>
    <x:row r="15">
      <x:c r="A15" s="14" t="str">
        <x:v>bva-cases.js</x:v>
      </x:c>
      <x:c r="B15" s="14" t="str">
        <x:v>https://github.com/TranHuuLoiDev/KCPM/blob/main/tests/bva/bva-cases.js</x:v>
      </x:c>
      <x:c r="C15" s="14" t="str">
        <x:v>Xác định giá trị biên đang kiểm thử</x:v>
      </x:c>
      <x:c r="D15" s="14" t="str">
        <x:v>tests/** bị loại khỏi sonar.sources</x:v>
      </x:c>
      <x:c r="E15" s="14" t="str">
        <x:v>Map test case → decision</x:v>
      </x:c>
      <x:c r="F15" s="14" t="str">
        <x:v>Đã dùng</x:v>
      </x:c>
    </x:row>
    <x:row r="16">
      <x:c r="A16" s="14" t="str">
        <x:v>sonar-project.properties</x:v>
      </x:c>
      <x:c r="B16" s="14" t="str">
        <x:v>https://github.com/TranHuuLoiDev/KCPM/blob/main/sonar-project.properties</x:v>
      </x:c>
      <x:c r="C16" s="14" t="str">
        <x:v>Xác nhận phạm vi Sonar</x:v>
      </x:c>
      <x:c r="D16" s="14" t="str">
        <x:v>sonar.sources=backend,frontend; tests excluded; api.php coverage excluded</x:v>
      </x:c>
      <x:c r="E16" s="14" t="str">
        <x:v>Giải thích vì sao manual BVA khác Sonar</x:v>
      </x:c>
      <x:c r="F16" s="14" t="str">
        <x:v>Đã dùng</x:v>
      </x:c>
    </x:row>
    <x:row r="17">
      <x:c r="A17" s="14" t="str">
        <x:v>SonarCloud dashboard</x:v>
      </x:c>
      <x:c r="B17" s="14" t="str">
        <x:v>https://sonarcloud.io/dashboard?id=TranHuuLoiDev_KCPM&amp;branch=main</x:v>
      </x:c>
      <x:c r="C17" s="14" t="str">
        <x:v>Đối chiếu runtime coverage khi cần</x:v>
      </x:c>
      <x:c r="D17" s="14" t="str">
        <x:v>Tool/runtime metric</x:v>
      </x:c>
      <x:c r="E17" s="14" t="str">
        <x:v>Không dùng làm mẫu số cho manual BVA</x:v>
      </x:c>
      <x:c r="F17" s="14" t="str">
        <x:v>Tham khảo</x:v>
      </x:c>
    </x:row>
    <x:row r="20">
      <x:c r="A20" s="45" t="str">
        <x:v>Diễn giải quan trọng</x:v>
      </x:c>
      <x:c r="B20" s="45"/>
      <x:c r="C20" s="45"/>
      <x:c r="D20" s="45"/>
      <x:c r="E20" s="45"/>
      <x:c r="F20" s="45"/>
    </x:row>
    <x:row r="21">
      <x:c r="A21" s="48" t="str">
        <x:v>SonarQube/SonarCloud đo coverage dựa trên report runtime và cấu hình source/exclusion. Trong project này, sonar-project.properties khai báo sonar.sources=backend,frontend; tests/** bị loại khỏi source và backend/api.php bị loại khỏi coverage. Vì vậy file này không thay thế số coverage của Sonar. Nó trả lời câu hỏi khác: với đúng bộ BVA Seat + Room + Theatre hiện có, các decision/nhánh logic validation nào được chạm tới?</x:v>
      </x:c>
      <x:c r="B21" s="48"/>
      <x:c r="C21" s="48"/>
      <x:c r="D21" s="48"/>
      <x:c r="E21" s="48"/>
      <x:c r="F21" s="48"/>
    </x:row>
    <x:row r="22">
      <x:c r="A22" s="48"/>
      <x:c r="B22" s="48"/>
      <x:c r="C22" s="48"/>
      <x:c r="D22" s="48"/>
      <x:c r="E22" s="48"/>
      <x:c r="F22" s="48"/>
    </x:row>
    <x:row r="23">
      <x:c r="A23" s="48"/>
      <x:c r="B23" s="48"/>
      <x:c r="C23" s="48"/>
      <x:c r="D23" s="48"/>
      <x:c r="E23" s="48"/>
      <x:c r="F23" s="48"/>
    </x:row>
    <x:row r="24">
      <x:c r="A24" s="48"/>
      <x:c r="B24" s="48"/>
      <x:c r="C24" s="48"/>
      <x:c r="D24" s="48"/>
      <x:c r="E24" s="48"/>
      <x:c r="F24" s="48"/>
    </x:row>
    <x:row r="25">
      <x:c r="A25" s="48"/>
      <x:c r="B25" s="48"/>
      <x:c r="C25" s="48"/>
      <x:c r="D25" s="48"/>
      <x:c r="E25" s="48"/>
      <x:c r="F25" s="48"/>
    </x:row>
  </x:sheetData>
  <x:mergeCells>
    <x:mergeCell ref="A1:F1"/>
    <x:mergeCell ref="A20:F20"/>
    <x:mergeCell ref="A21:F25"/>
  </x:mergeCells>
  <x:pageMargins left="0.7" right="0.7" top="0.75" bottom="0.75" header="0.3" footer="0.3"/>
  <x:tableParts count="2">
    <x:tablePart xmlns:r="http://schemas.openxmlformats.org/officeDocument/2006/relationships" r:id="R4411c50cb5f74f14"/>
    <x:tablePart xmlns:r="http://schemas.openxmlformats.org/officeDocument/2006/relationships" r:id="Rd3a1ee19e7ca4142"/>
  </x:tableParts>
</x:worksheet>
</file>